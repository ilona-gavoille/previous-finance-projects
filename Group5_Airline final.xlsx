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ink/ink1.xml" ContentType="application/inkml+xml"/>
  <Override PartName="/xl/charts/chart8.xml" ContentType="application/vnd.openxmlformats-officedocument.drawingml.chart+xml"/>
  <Override PartName="/xl/charts/chart9.xml" ContentType="application/vnd.openxmlformats-officedocument.drawingml.chart+xml"/>
  <Override PartName="/xl/drawings/drawing4.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5.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6.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7.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drawings/drawing8.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drawings/drawing9.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10.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drawings/drawing11.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drawings/drawing12.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drawings/drawing13.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drawings/drawing14.xml" ContentType="application/vnd.openxmlformats-officedocument.drawing+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drawings/drawing15.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drawings/drawing16.xml" ContentType="application/vnd.openxmlformats-officedocument.drawing+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drawings/drawing17.xml" ContentType="application/vnd.openxmlformats-officedocument.drawing+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drawings/drawing18.xml" ContentType="application/vnd.openxmlformats-officedocument.drawing+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drawings/drawing19.xml" ContentType="application/vnd.openxmlformats-officedocument.drawing+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drawings/drawing20.xml" ContentType="application/vnd.openxmlformats-officedocument.drawing+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drawings/drawing21.xml" ContentType="application/vnd.openxmlformats-officedocument.drawing+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drawings/drawing22.xml" ContentType="application/vnd.openxmlformats-officedocument.drawing+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drawings/drawing23.xml" ContentType="application/vnd.openxmlformats-officedocument.drawing+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drawings/drawing24.xml" ContentType="application/vnd.openxmlformats-officedocument.drawing+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drawings/drawing25.xml" ContentType="application/vnd.openxmlformats-officedocument.drawing+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avoi\Downloads\"/>
    </mc:Choice>
  </mc:AlternateContent>
  <xr:revisionPtr revIDLastSave="0" documentId="8_{37129D2E-29C8-41B1-BD74-90CDAA1A77AC}" xr6:coauthVersionLast="47" xr6:coauthVersionMax="47" xr10:uidLastSave="{00000000-0000-0000-0000-000000000000}"/>
  <bookViews>
    <workbookView xWindow="-98" yWindow="-98" windowWidth="21795" windowHeight="12975" tabRatio="812" xr2:uid="{92B3A0B0-05B6-48F2-8409-ADEAA9A4A36B}"/>
  </bookViews>
  <sheets>
    <sheet name="CumulativeReturns" sheetId="1" r:id="rId1"/>
    <sheet name="Working Capital" sheetId="27" r:id="rId2"/>
    <sheet name="Working Capital ratio" sheetId="26" r:id="rId3"/>
    <sheet name="Current ratio" sheetId="2" r:id="rId4"/>
    <sheet name="Acid-test ratio" sheetId="28" r:id="rId5"/>
    <sheet name="Accounts receivable turnover" sheetId="4" r:id="rId6"/>
    <sheet name="Average collection period" sheetId="5" r:id="rId7"/>
    <sheet name="Inventory turnover" sheetId="6" r:id="rId8"/>
    <sheet name="Average sale period" sheetId="7" r:id="rId9"/>
    <sheet name="Operating cycle" sheetId="8" r:id="rId10"/>
    <sheet name="Total asset turnover" sheetId="10" r:id="rId11"/>
    <sheet name="Times interest earned" sheetId="11" r:id="rId12"/>
    <sheet name="Debt-to-equity ratio" sheetId="12" r:id="rId13"/>
    <sheet name="Equity multiplier" sheetId="13" r:id="rId14"/>
    <sheet name="Net profit margin percentage" sheetId="14" r:id="rId15"/>
    <sheet name="Return on total assets (ROA)_x0009_" sheetId="15" r:id="rId16"/>
    <sheet name="Return on equity (ROE)" sheetId="16" r:id="rId17"/>
    <sheet name="Earnings per share" sheetId="17" r:id="rId18"/>
    <sheet name="Price-earnings ratio" sheetId="18" r:id="rId19"/>
    <sheet name="Dividend payout ratio" sheetId="19" r:id="rId20"/>
    <sheet name="Dividend yield ratio" sheetId="21" r:id="rId21"/>
    <sheet name="Book value per share" sheetId="20" r:id="rId22"/>
    <sheet name="CASM-ex" sheetId="22" r:id="rId23"/>
    <sheet name="RASM" sheetId="23" r:id="rId24"/>
    <sheet name="Load factor" sheetId="24" r:id="rId25"/>
    <sheet name="Fuel price" sheetId="25" r:id="rId2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6" i="26" l="1"/>
  <c r="D6" i="26"/>
  <c r="E6" i="26"/>
  <c r="F6" i="26"/>
  <c r="G6" i="26"/>
  <c r="G7" i="26"/>
  <c r="C9" i="26"/>
  <c r="D9" i="26"/>
  <c r="E9" i="26"/>
  <c r="F9" i="26"/>
  <c r="G9" i="26"/>
  <c r="C12" i="26"/>
  <c r="D12" i="26"/>
  <c r="E12" i="26"/>
  <c r="F12" i="26"/>
  <c r="G12" i="26"/>
  <c r="C13" i="26"/>
  <c r="D13" i="26"/>
  <c r="E13" i="26"/>
  <c r="F13" i="26"/>
  <c r="G13" i="26"/>
  <c r="D27" i="1"/>
  <c r="AJ73" i="28" l="1"/>
  <c r="AI73" i="28"/>
  <c r="AH73" i="28"/>
  <c r="AG73" i="28"/>
  <c r="AF73" i="28"/>
  <c r="AE73" i="28"/>
  <c r="AD73" i="28"/>
  <c r="AC73" i="28"/>
  <c r="AB73" i="28"/>
  <c r="AA73" i="28"/>
  <c r="Z73" i="28"/>
  <c r="Y73" i="28"/>
  <c r="X73" i="28"/>
  <c r="W73" i="28"/>
  <c r="V73" i="28"/>
  <c r="U73" i="28"/>
  <c r="T73" i="28"/>
  <c r="S73" i="28"/>
  <c r="R73" i="28"/>
  <c r="Q73" i="28"/>
  <c r="P73" i="28"/>
  <c r="O73" i="28"/>
  <c r="N73" i="28"/>
  <c r="M73" i="28"/>
  <c r="AJ31" i="28"/>
  <c r="AI31" i="28"/>
  <c r="AH31" i="28"/>
  <c r="AG31" i="28"/>
  <c r="AF31" i="28"/>
  <c r="AE31" i="28"/>
  <c r="AD31" i="28"/>
  <c r="AC31" i="28"/>
  <c r="AB31" i="28"/>
  <c r="AA31" i="28"/>
  <c r="Z31" i="28"/>
  <c r="Y31" i="28"/>
  <c r="X31" i="28"/>
  <c r="W31" i="28"/>
  <c r="V31" i="28"/>
  <c r="U31" i="28"/>
  <c r="T31" i="28"/>
  <c r="S31" i="28"/>
  <c r="R31" i="28"/>
  <c r="Q31" i="28"/>
  <c r="P31" i="28"/>
  <c r="O31" i="28"/>
  <c r="N31" i="28"/>
  <c r="M31" i="28"/>
  <c r="AJ24" i="28"/>
  <c r="AI24" i="28"/>
  <c r="AH24" i="28"/>
  <c r="AG24" i="28"/>
  <c r="AF24" i="28"/>
  <c r="AE24" i="28"/>
  <c r="AD24" i="28"/>
  <c r="AC24" i="28"/>
  <c r="AB24" i="28"/>
  <c r="AA24" i="28"/>
  <c r="Z24" i="28"/>
  <c r="Y24" i="28"/>
  <c r="X24" i="28"/>
  <c r="W24" i="28"/>
  <c r="V24" i="28"/>
  <c r="U24" i="28"/>
  <c r="T24" i="28"/>
  <c r="S24" i="28"/>
  <c r="R24" i="28"/>
  <c r="Q24" i="28"/>
  <c r="P24" i="28"/>
  <c r="O24" i="28"/>
  <c r="N24" i="28"/>
  <c r="M24" i="28"/>
  <c r="AJ11" i="28"/>
  <c r="AI11" i="28"/>
  <c r="AH11" i="28"/>
  <c r="AG11" i="28"/>
  <c r="AF11" i="28"/>
  <c r="AE11" i="28"/>
  <c r="AD11" i="28"/>
  <c r="AC11" i="28"/>
  <c r="AB11" i="28"/>
  <c r="AA11" i="28"/>
  <c r="Z11" i="28"/>
  <c r="Y11" i="28"/>
  <c r="X11" i="28"/>
  <c r="W11" i="28"/>
  <c r="V11" i="28"/>
  <c r="U11" i="28"/>
  <c r="T11" i="28"/>
  <c r="S11" i="28"/>
  <c r="R11" i="28"/>
  <c r="Q11" i="28"/>
  <c r="P11" i="28"/>
  <c r="O11" i="28"/>
  <c r="N11" i="28"/>
  <c r="M11" i="28"/>
  <c r="G9" i="27"/>
  <c r="F9" i="27"/>
  <c r="E9" i="27"/>
  <c r="D9" i="27"/>
  <c r="C9" i="27"/>
  <c r="AJ73" i="27"/>
  <c r="AI73" i="27"/>
  <c r="AH73" i="27"/>
  <c r="AG73" i="27"/>
  <c r="AF73" i="27"/>
  <c r="AE73" i="27"/>
  <c r="AD73" i="27"/>
  <c r="AC73" i="27"/>
  <c r="AB73" i="27"/>
  <c r="AA73" i="27"/>
  <c r="Z73" i="27"/>
  <c r="Y73" i="27"/>
  <c r="X73" i="27"/>
  <c r="W73" i="27"/>
  <c r="V73" i="27"/>
  <c r="U73" i="27"/>
  <c r="T73" i="27"/>
  <c r="S73" i="27"/>
  <c r="R73" i="27"/>
  <c r="Q73" i="27"/>
  <c r="P73" i="27"/>
  <c r="O73" i="27"/>
  <c r="N73" i="27"/>
  <c r="M73" i="27"/>
  <c r="AJ31" i="27"/>
  <c r="AI31" i="27"/>
  <c r="AH31" i="27"/>
  <c r="AG31" i="27"/>
  <c r="AF31" i="27"/>
  <c r="AE31" i="27"/>
  <c r="AD31" i="27"/>
  <c r="AC31" i="27"/>
  <c r="AB31" i="27"/>
  <c r="AA31" i="27"/>
  <c r="Z31" i="27"/>
  <c r="Y31" i="27"/>
  <c r="X31" i="27"/>
  <c r="W31" i="27"/>
  <c r="V31" i="27"/>
  <c r="U31" i="27"/>
  <c r="T31" i="27"/>
  <c r="S31" i="27"/>
  <c r="R31" i="27"/>
  <c r="Q31" i="27"/>
  <c r="P31" i="27"/>
  <c r="O31" i="27"/>
  <c r="N31" i="27"/>
  <c r="M31" i="27"/>
  <c r="AJ24" i="27"/>
  <c r="AI24" i="27"/>
  <c r="AH24" i="27"/>
  <c r="AG24" i="27"/>
  <c r="AF24" i="27"/>
  <c r="AE24" i="27"/>
  <c r="AD24" i="27"/>
  <c r="AC24" i="27"/>
  <c r="AB24" i="27"/>
  <c r="AA24" i="27"/>
  <c r="Z24" i="27"/>
  <c r="Y24" i="27"/>
  <c r="X24" i="27"/>
  <c r="W24" i="27"/>
  <c r="V24" i="27"/>
  <c r="U24" i="27"/>
  <c r="T24" i="27"/>
  <c r="S24" i="27"/>
  <c r="R24" i="27"/>
  <c r="Q24" i="27"/>
  <c r="P24" i="27"/>
  <c r="O24" i="27"/>
  <c r="N24" i="27"/>
  <c r="M24" i="27"/>
  <c r="AJ11" i="27"/>
  <c r="AI11" i="27"/>
  <c r="AH11" i="27"/>
  <c r="AG11" i="27"/>
  <c r="AF11" i="27"/>
  <c r="AE11" i="27"/>
  <c r="AD11" i="27"/>
  <c r="AC11" i="27"/>
  <c r="AB11" i="27"/>
  <c r="AA11" i="27"/>
  <c r="Z11" i="27"/>
  <c r="Y11" i="27"/>
  <c r="X11" i="27"/>
  <c r="W11" i="27"/>
  <c r="V11" i="27"/>
  <c r="U11" i="27"/>
  <c r="T11" i="27"/>
  <c r="S11" i="27"/>
  <c r="R11" i="27"/>
  <c r="Q11" i="27"/>
  <c r="P11" i="27"/>
  <c r="O11" i="27"/>
  <c r="N11" i="27"/>
  <c r="M11" i="27"/>
  <c r="AJ73" i="26"/>
  <c r="AI73" i="26"/>
  <c r="AH73" i="26"/>
  <c r="AG73" i="26"/>
  <c r="AF73" i="26"/>
  <c r="AE73" i="26"/>
  <c r="AD73" i="26"/>
  <c r="AC73" i="26"/>
  <c r="AB73" i="26"/>
  <c r="AA73" i="26"/>
  <c r="Z73" i="26"/>
  <c r="Y73" i="26"/>
  <c r="X73" i="26"/>
  <c r="W73" i="26"/>
  <c r="V73" i="26"/>
  <c r="U73" i="26"/>
  <c r="T73" i="26"/>
  <c r="S73" i="26"/>
  <c r="R73" i="26"/>
  <c r="Q73" i="26"/>
  <c r="P73" i="26"/>
  <c r="O73" i="26"/>
  <c r="N73" i="26"/>
  <c r="M73" i="26"/>
  <c r="AJ31" i="26"/>
  <c r="AI31" i="26"/>
  <c r="AH31" i="26"/>
  <c r="AG31" i="26"/>
  <c r="AF31" i="26"/>
  <c r="AE31" i="26"/>
  <c r="AD31" i="26"/>
  <c r="AC31" i="26"/>
  <c r="AB31" i="26"/>
  <c r="AA31" i="26"/>
  <c r="Z31" i="26"/>
  <c r="Y31" i="26"/>
  <c r="X31" i="26"/>
  <c r="W31" i="26"/>
  <c r="V31" i="26"/>
  <c r="U31" i="26"/>
  <c r="T31" i="26"/>
  <c r="S31" i="26"/>
  <c r="R31" i="26"/>
  <c r="Q31" i="26"/>
  <c r="P31" i="26"/>
  <c r="O31" i="26"/>
  <c r="N31" i="26"/>
  <c r="M31" i="26"/>
  <c r="AJ24" i="26"/>
  <c r="AI24" i="26"/>
  <c r="AH24" i="26"/>
  <c r="AG24" i="26"/>
  <c r="AF24" i="26"/>
  <c r="AE24" i="26"/>
  <c r="AD24" i="26"/>
  <c r="AC24" i="26"/>
  <c r="AB24" i="26"/>
  <c r="AA24" i="26"/>
  <c r="Z24" i="26"/>
  <c r="Y24" i="26"/>
  <c r="X24" i="26"/>
  <c r="W24" i="26"/>
  <c r="V24" i="26"/>
  <c r="U24" i="26"/>
  <c r="T24" i="26"/>
  <c r="S24" i="26"/>
  <c r="R24" i="26"/>
  <c r="Q24" i="26"/>
  <c r="P24" i="26"/>
  <c r="O24" i="26"/>
  <c r="N24" i="26"/>
  <c r="M24" i="26"/>
  <c r="AJ11" i="26"/>
  <c r="AI11" i="26"/>
  <c r="AH11" i="26"/>
  <c r="AG11" i="26"/>
  <c r="AF11" i="26"/>
  <c r="AE11" i="26"/>
  <c r="AD11" i="26"/>
  <c r="AC11" i="26"/>
  <c r="AB11" i="26"/>
  <c r="AA11" i="26"/>
  <c r="Z11" i="26"/>
  <c r="Y11" i="26"/>
  <c r="X11" i="26"/>
  <c r="W11" i="26"/>
  <c r="V11" i="26"/>
  <c r="U11" i="26"/>
  <c r="T11" i="26"/>
  <c r="S11" i="26"/>
  <c r="R11" i="26"/>
  <c r="Q11" i="26"/>
  <c r="P11" i="26"/>
  <c r="O11" i="26"/>
  <c r="N11" i="26"/>
  <c r="M11" i="26"/>
  <c r="M73" i="4"/>
  <c r="N73" i="4"/>
  <c r="O73" i="4"/>
  <c r="P73" i="4"/>
  <c r="Q73" i="4"/>
  <c r="R73" i="4"/>
  <c r="S73" i="4"/>
  <c r="T73" i="4"/>
  <c r="U73" i="4"/>
  <c r="V73" i="4"/>
  <c r="W73" i="4"/>
  <c r="X73" i="4"/>
  <c r="Y73" i="4"/>
  <c r="Z73" i="4"/>
  <c r="AA73" i="4"/>
  <c r="AB73" i="4"/>
  <c r="AC73" i="4"/>
  <c r="AD73" i="4"/>
  <c r="AE73" i="4"/>
  <c r="AF73" i="4"/>
  <c r="AG73" i="4"/>
  <c r="AH73" i="4"/>
  <c r="AI73" i="4"/>
  <c r="AJ73" i="4"/>
  <c r="M31" i="4"/>
  <c r="N31" i="4"/>
  <c r="O31" i="4"/>
  <c r="P31" i="4"/>
  <c r="Q31" i="4"/>
  <c r="R31" i="4"/>
  <c r="S31" i="4"/>
  <c r="T31" i="4"/>
  <c r="U31" i="4"/>
  <c r="V31" i="4"/>
  <c r="W31" i="4"/>
  <c r="X31" i="4"/>
  <c r="Y31" i="4"/>
  <c r="Z31" i="4"/>
  <c r="AA31" i="4"/>
  <c r="AB31" i="4"/>
  <c r="AC31" i="4"/>
  <c r="AD31" i="4"/>
  <c r="AE31" i="4"/>
  <c r="AF31" i="4"/>
  <c r="AG31" i="4"/>
  <c r="AH31" i="4"/>
  <c r="AI31" i="4"/>
  <c r="AJ31" i="4"/>
  <c r="M31" i="5"/>
  <c r="N31" i="5"/>
  <c r="O31" i="5"/>
  <c r="P31" i="5"/>
  <c r="Q31" i="5"/>
  <c r="R31" i="5"/>
  <c r="S31" i="5"/>
  <c r="T31" i="5"/>
  <c r="U31" i="5"/>
  <c r="V31" i="5"/>
  <c r="W31" i="5"/>
  <c r="X31" i="5"/>
  <c r="Y31" i="5"/>
  <c r="Z31" i="5"/>
  <c r="AA31" i="5"/>
  <c r="AB31" i="5"/>
  <c r="AC31" i="5"/>
  <c r="AD31" i="5"/>
  <c r="AE31" i="5"/>
  <c r="AF31" i="5"/>
  <c r="AG31" i="5"/>
  <c r="AH31" i="5"/>
  <c r="AI31" i="5"/>
  <c r="AJ31" i="5"/>
  <c r="M73" i="5"/>
  <c r="N73" i="5"/>
  <c r="O73" i="5"/>
  <c r="P73" i="5"/>
  <c r="Q73" i="5"/>
  <c r="R73" i="5"/>
  <c r="S73" i="5"/>
  <c r="T73" i="5"/>
  <c r="U73" i="5"/>
  <c r="V73" i="5"/>
  <c r="W73" i="5"/>
  <c r="X73" i="5"/>
  <c r="Y73" i="5"/>
  <c r="Z73" i="5"/>
  <c r="AA73" i="5"/>
  <c r="AB73" i="5"/>
  <c r="AC73" i="5"/>
  <c r="AD73" i="5"/>
  <c r="AE73" i="5"/>
  <c r="AF73" i="5"/>
  <c r="AG73" i="5"/>
  <c r="AH73" i="5"/>
  <c r="AI73" i="5"/>
  <c r="AJ73" i="5"/>
  <c r="AJ102" i="2"/>
  <c r="AI102" i="2"/>
  <c r="AH102" i="2"/>
  <c r="AG102" i="2"/>
  <c r="AF102" i="2"/>
  <c r="AE102" i="2"/>
  <c r="AD102" i="2"/>
  <c r="AC102" i="2"/>
  <c r="AB102" i="2"/>
  <c r="AA102" i="2"/>
  <c r="Z102" i="2"/>
  <c r="Y102" i="2"/>
  <c r="X102" i="2"/>
  <c r="W102" i="2"/>
  <c r="V102" i="2"/>
  <c r="U102" i="2"/>
  <c r="T102" i="2"/>
  <c r="S102" i="2"/>
  <c r="R102" i="2"/>
  <c r="Q102" i="2"/>
  <c r="P102" i="2"/>
  <c r="O102" i="2"/>
  <c r="N102" i="2"/>
  <c r="M102" i="2"/>
  <c r="AJ60" i="2"/>
  <c r="AI60" i="2"/>
  <c r="AH60" i="2"/>
  <c r="AG60" i="2"/>
  <c r="AF60" i="2"/>
  <c r="AE60" i="2"/>
  <c r="AD60" i="2"/>
  <c r="AC60" i="2"/>
  <c r="AB60" i="2"/>
  <c r="AA60" i="2"/>
  <c r="Z60" i="2"/>
  <c r="Y60" i="2"/>
  <c r="X60" i="2"/>
  <c r="W60" i="2"/>
  <c r="V60" i="2"/>
  <c r="U60" i="2"/>
  <c r="T60" i="2"/>
  <c r="S60" i="2"/>
  <c r="R60" i="2"/>
  <c r="Q60" i="2"/>
  <c r="P60" i="2"/>
  <c r="O60" i="2"/>
  <c r="N60" i="2"/>
  <c r="M60" i="2"/>
  <c r="AJ73" i="25"/>
  <c r="AI73" i="25"/>
  <c r="AH73" i="25"/>
  <c r="AG73" i="25"/>
  <c r="AF73" i="25"/>
  <c r="AE73" i="25"/>
  <c r="AD73" i="25"/>
  <c r="AC73" i="25"/>
  <c r="AB73" i="25"/>
  <c r="AA73" i="25"/>
  <c r="Z73" i="25"/>
  <c r="Y73" i="25"/>
  <c r="X73" i="25"/>
  <c r="W73" i="25"/>
  <c r="V73" i="25"/>
  <c r="U73" i="25"/>
  <c r="T73" i="25"/>
  <c r="S73" i="25"/>
  <c r="R73" i="25"/>
  <c r="Q73" i="25"/>
  <c r="P73" i="25"/>
  <c r="O73" i="25"/>
  <c r="N73" i="25"/>
  <c r="M73" i="25"/>
  <c r="AJ31" i="25"/>
  <c r="AI31" i="25"/>
  <c r="AH31" i="25"/>
  <c r="AG31" i="25"/>
  <c r="AF31" i="25"/>
  <c r="AE31" i="25"/>
  <c r="AD31" i="25"/>
  <c r="AC31" i="25"/>
  <c r="AB31" i="25"/>
  <c r="AA31" i="25"/>
  <c r="Z31" i="25"/>
  <c r="Y31" i="25"/>
  <c r="X31" i="25"/>
  <c r="W31" i="25"/>
  <c r="V31" i="25"/>
  <c r="U31" i="25"/>
  <c r="T31" i="25"/>
  <c r="S31" i="25"/>
  <c r="R31" i="25"/>
  <c r="Q31" i="25"/>
  <c r="P31" i="25"/>
  <c r="O31" i="25"/>
  <c r="N31" i="25"/>
  <c r="M31" i="25"/>
  <c r="AJ24" i="25"/>
  <c r="AI24" i="25"/>
  <c r="AH24" i="25"/>
  <c r="AG24" i="25"/>
  <c r="AF24" i="25"/>
  <c r="AE24" i="25"/>
  <c r="AD24" i="25"/>
  <c r="AC24" i="25"/>
  <c r="AB24" i="25"/>
  <c r="AA24" i="25"/>
  <c r="Z24" i="25"/>
  <c r="Y24" i="25"/>
  <c r="X24" i="25"/>
  <c r="W24" i="25"/>
  <c r="V24" i="25"/>
  <c r="U24" i="25"/>
  <c r="T24" i="25"/>
  <c r="S24" i="25"/>
  <c r="R24" i="25"/>
  <c r="Q24" i="25"/>
  <c r="P24" i="25"/>
  <c r="O24" i="25"/>
  <c r="N24" i="25"/>
  <c r="M24" i="25"/>
  <c r="AJ11" i="25"/>
  <c r="AI11" i="25"/>
  <c r="AH11" i="25"/>
  <c r="AG11" i="25"/>
  <c r="AF11" i="25"/>
  <c r="AE11" i="25"/>
  <c r="AD11" i="25"/>
  <c r="AC11" i="25"/>
  <c r="AB11" i="25"/>
  <c r="AA11" i="25"/>
  <c r="Z11" i="25"/>
  <c r="Y11" i="25"/>
  <c r="X11" i="25"/>
  <c r="W11" i="25"/>
  <c r="V11" i="25"/>
  <c r="U11" i="25"/>
  <c r="T11" i="25"/>
  <c r="S11" i="25"/>
  <c r="R11" i="25"/>
  <c r="Q11" i="25"/>
  <c r="P11" i="25"/>
  <c r="O11" i="25"/>
  <c r="N11" i="25"/>
  <c r="M11" i="25"/>
  <c r="AJ73" i="24"/>
  <c r="AI73" i="24"/>
  <c r="AH73" i="24"/>
  <c r="AG73" i="24"/>
  <c r="AF73" i="24"/>
  <c r="AE73" i="24"/>
  <c r="AD73" i="24"/>
  <c r="AC73" i="24"/>
  <c r="AB73" i="24"/>
  <c r="AA73" i="24"/>
  <c r="Z73" i="24"/>
  <c r="Y73" i="24"/>
  <c r="X73" i="24"/>
  <c r="W73" i="24"/>
  <c r="V73" i="24"/>
  <c r="U73" i="24"/>
  <c r="T73" i="24"/>
  <c r="S73" i="24"/>
  <c r="R73" i="24"/>
  <c r="Q73" i="24"/>
  <c r="P73" i="24"/>
  <c r="O73" i="24"/>
  <c r="N73" i="24"/>
  <c r="M73" i="24"/>
  <c r="AJ31" i="24"/>
  <c r="AI31" i="24"/>
  <c r="AH31" i="24"/>
  <c r="AG31" i="24"/>
  <c r="AF31" i="24"/>
  <c r="AE31" i="24"/>
  <c r="AD31" i="24"/>
  <c r="AC31" i="24"/>
  <c r="AB31" i="24"/>
  <c r="AA31" i="24"/>
  <c r="Z31" i="24"/>
  <c r="Y31" i="24"/>
  <c r="X31" i="24"/>
  <c r="W31" i="24"/>
  <c r="V31" i="24"/>
  <c r="U31" i="24"/>
  <c r="T31" i="24"/>
  <c r="S31" i="24"/>
  <c r="R31" i="24"/>
  <c r="Q31" i="24"/>
  <c r="P31" i="24"/>
  <c r="O31" i="24"/>
  <c r="N31" i="24"/>
  <c r="M31" i="24"/>
  <c r="AJ24" i="24"/>
  <c r="AI24" i="24"/>
  <c r="AH24" i="24"/>
  <c r="AG24" i="24"/>
  <c r="AF24" i="24"/>
  <c r="AE24" i="24"/>
  <c r="AD24" i="24"/>
  <c r="AC24" i="24"/>
  <c r="AB24" i="24"/>
  <c r="AA24" i="24"/>
  <c r="Z24" i="24"/>
  <c r="Y24" i="24"/>
  <c r="X24" i="24"/>
  <c r="W24" i="24"/>
  <c r="V24" i="24"/>
  <c r="U24" i="24"/>
  <c r="T24" i="24"/>
  <c r="S24" i="24"/>
  <c r="R24" i="24"/>
  <c r="Q24" i="24"/>
  <c r="P24" i="24"/>
  <c r="O24" i="24"/>
  <c r="N24" i="24"/>
  <c r="M24" i="24"/>
  <c r="AJ11" i="24"/>
  <c r="AI11" i="24"/>
  <c r="AH11" i="24"/>
  <c r="AG11" i="24"/>
  <c r="AF11" i="24"/>
  <c r="AE11" i="24"/>
  <c r="AD11" i="24"/>
  <c r="AC11" i="24"/>
  <c r="AB11" i="24"/>
  <c r="AA11" i="24"/>
  <c r="Z11" i="24"/>
  <c r="Y11" i="24"/>
  <c r="X11" i="24"/>
  <c r="W11" i="24"/>
  <c r="V11" i="24"/>
  <c r="U11" i="24"/>
  <c r="T11" i="24"/>
  <c r="S11" i="24"/>
  <c r="R11" i="24"/>
  <c r="Q11" i="24"/>
  <c r="P11" i="24"/>
  <c r="O11" i="24"/>
  <c r="N11" i="24"/>
  <c r="M11" i="24"/>
  <c r="AJ73" i="23"/>
  <c r="AI73" i="23"/>
  <c r="AH73" i="23"/>
  <c r="AG73" i="23"/>
  <c r="AF73" i="23"/>
  <c r="AE73" i="23"/>
  <c r="AD73" i="23"/>
  <c r="AC73" i="23"/>
  <c r="AB73" i="23"/>
  <c r="AA73" i="23"/>
  <c r="Z73" i="23"/>
  <c r="Y73" i="23"/>
  <c r="X73" i="23"/>
  <c r="W73" i="23"/>
  <c r="V73" i="23"/>
  <c r="U73" i="23"/>
  <c r="T73" i="23"/>
  <c r="S73" i="23"/>
  <c r="R73" i="23"/>
  <c r="Q73" i="23"/>
  <c r="P73" i="23"/>
  <c r="O73" i="23"/>
  <c r="N73" i="23"/>
  <c r="M73" i="23"/>
  <c r="AJ31" i="23"/>
  <c r="AI31" i="23"/>
  <c r="AH31" i="23"/>
  <c r="AG31" i="23"/>
  <c r="AF31" i="23"/>
  <c r="AE31" i="23"/>
  <c r="AD31" i="23"/>
  <c r="AC31" i="23"/>
  <c r="AB31" i="23"/>
  <c r="AA31" i="23"/>
  <c r="Z31" i="23"/>
  <c r="Y31" i="23"/>
  <c r="X31" i="23"/>
  <c r="W31" i="23"/>
  <c r="V31" i="23"/>
  <c r="U31" i="23"/>
  <c r="T31" i="23"/>
  <c r="S31" i="23"/>
  <c r="R31" i="23"/>
  <c r="Q31" i="23"/>
  <c r="P31" i="23"/>
  <c r="O31" i="23"/>
  <c r="N31" i="23"/>
  <c r="M31" i="23"/>
  <c r="AJ24" i="23"/>
  <c r="AI24" i="23"/>
  <c r="AH24" i="23"/>
  <c r="AG24" i="23"/>
  <c r="AF24" i="23"/>
  <c r="AE24" i="23"/>
  <c r="AD24" i="23"/>
  <c r="AC24" i="23"/>
  <c r="AB24" i="23"/>
  <c r="AA24" i="23"/>
  <c r="Z24" i="23"/>
  <c r="Y24" i="23"/>
  <c r="X24" i="23"/>
  <c r="W24" i="23"/>
  <c r="V24" i="23"/>
  <c r="U24" i="23"/>
  <c r="T24" i="23"/>
  <c r="S24" i="23"/>
  <c r="R24" i="23"/>
  <c r="Q24" i="23"/>
  <c r="P24" i="23"/>
  <c r="O24" i="23"/>
  <c r="N24" i="23"/>
  <c r="M24" i="23"/>
  <c r="AJ11" i="23"/>
  <c r="AI11" i="23"/>
  <c r="AH11" i="23"/>
  <c r="AG11" i="23"/>
  <c r="AF11" i="23"/>
  <c r="AE11" i="23"/>
  <c r="AD11" i="23"/>
  <c r="AC11" i="23"/>
  <c r="AB11" i="23"/>
  <c r="AA11" i="23"/>
  <c r="Z11" i="23"/>
  <c r="Y11" i="23"/>
  <c r="X11" i="23"/>
  <c r="W11" i="23"/>
  <c r="V11" i="23"/>
  <c r="U11" i="23"/>
  <c r="T11" i="23"/>
  <c r="S11" i="23"/>
  <c r="R11" i="23"/>
  <c r="Q11" i="23"/>
  <c r="P11" i="23"/>
  <c r="O11" i="23"/>
  <c r="N11" i="23"/>
  <c r="M11" i="23"/>
  <c r="AJ73" i="22"/>
  <c r="AI73" i="22"/>
  <c r="AH73" i="22"/>
  <c r="AG73" i="22"/>
  <c r="AF73" i="22"/>
  <c r="AE73" i="22"/>
  <c r="AD73" i="22"/>
  <c r="AC73" i="22"/>
  <c r="AB73" i="22"/>
  <c r="AA73" i="22"/>
  <c r="Z73" i="22"/>
  <c r="Y73" i="22"/>
  <c r="X73" i="22"/>
  <c r="W73" i="22"/>
  <c r="V73" i="22"/>
  <c r="U73" i="22"/>
  <c r="T73" i="22"/>
  <c r="S73" i="22"/>
  <c r="R73" i="22"/>
  <c r="Q73" i="22"/>
  <c r="P73" i="22"/>
  <c r="O73" i="22"/>
  <c r="N73" i="22"/>
  <c r="M73"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AJ73" i="21"/>
  <c r="AI73" i="21"/>
  <c r="AH73" i="21"/>
  <c r="AG73" i="21"/>
  <c r="AF73" i="21"/>
  <c r="AE73" i="21"/>
  <c r="AD73" i="21"/>
  <c r="AC73" i="21"/>
  <c r="AB73" i="21"/>
  <c r="AA73" i="21"/>
  <c r="Z73" i="21"/>
  <c r="Y73" i="21"/>
  <c r="X73" i="21"/>
  <c r="W73" i="21"/>
  <c r="V73" i="21"/>
  <c r="U73" i="21"/>
  <c r="T73" i="21"/>
  <c r="S73" i="21"/>
  <c r="R73" i="21"/>
  <c r="Q73" i="21"/>
  <c r="P73" i="21"/>
  <c r="O73" i="21"/>
  <c r="N73" i="21"/>
  <c r="M73"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AJ73" i="20"/>
  <c r="AI73" i="20"/>
  <c r="AH73" i="20"/>
  <c r="AG73" i="20"/>
  <c r="AF73" i="20"/>
  <c r="AE73" i="20"/>
  <c r="AD73" i="20"/>
  <c r="AC73" i="20"/>
  <c r="AB73" i="20"/>
  <c r="AA73" i="20"/>
  <c r="Z73" i="20"/>
  <c r="Y73" i="20"/>
  <c r="X73" i="20"/>
  <c r="W73" i="20"/>
  <c r="V73" i="20"/>
  <c r="U73" i="20"/>
  <c r="T73" i="20"/>
  <c r="S73" i="20"/>
  <c r="R73" i="20"/>
  <c r="Q73" i="20"/>
  <c r="P73" i="20"/>
  <c r="O73" i="20"/>
  <c r="N73" i="20"/>
  <c r="M73" i="20"/>
  <c r="AJ31" i="20"/>
  <c r="AI31" i="20"/>
  <c r="AH31" i="20"/>
  <c r="AG31" i="20"/>
  <c r="AF31" i="20"/>
  <c r="AE31" i="20"/>
  <c r="AD31" i="20"/>
  <c r="AC31" i="20"/>
  <c r="AB31" i="20"/>
  <c r="AA31" i="20"/>
  <c r="Z31" i="20"/>
  <c r="Y31" i="20"/>
  <c r="X31" i="20"/>
  <c r="W31" i="20"/>
  <c r="V31" i="20"/>
  <c r="U31" i="20"/>
  <c r="T31" i="20"/>
  <c r="S31" i="20"/>
  <c r="R31" i="20"/>
  <c r="Q31" i="20"/>
  <c r="P31" i="20"/>
  <c r="O31" i="20"/>
  <c r="N31" i="20"/>
  <c r="M31" i="20"/>
  <c r="AJ24" i="20"/>
  <c r="AI24" i="20"/>
  <c r="AH24" i="20"/>
  <c r="AG24" i="20"/>
  <c r="AF24" i="20"/>
  <c r="AE24" i="20"/>
  <c r="AD24" i="20"/>
  <c r="AC24" i="20"/>
  <c r="AB24" i="20"/>
  <c r="AA24" i="20"/>
  <c r="Z24" i="20"/>
  <c r="Y24" i="20"/>
  <c r="X24" i="20"/>
  <c r="W24" i="20"/>
  <c r="V24" i="20"/>
  <c r="U24" i="20"/>
  <c r="T24" i="20"/>
  <c r="S24" i="20"/>
  <c r="R24" i="20"/>
  <c r="Q24" i="20"/>
  <c r="P24" i="20"/>
  <c r="O24" i="20"/>
  <c r="N24" i="20"/>
  <c r="M24" i="20"/>
  <c r="AJ11" i="20"/>
  <c r="AI11" i="20"/>
  <c r="AH11" i="20"/>
  <c r="AG11" i="20"/>
  <c r="AF11" i="20"/>
  <c r="AE11" i="20"/>
  <c r="AD11" i="20"/>
  <c r="AC11" i="20"/>
  <c r="AB11" i="20"/>
  <c r="AA11" i="20"/>
  <c r="Z11" i="20"/>
  <c r="Y11" i="20"/>
  <c r="X11" i="20"/>
  <c r="W11" i="20"/>
  <c r="V11" i="20"/>
  <c r="U11" i="20"/>
  <c r="T11" i="20"/>
  <c r="S11" i="20"/>
  <c r="R11" i="20"/>
  <c r="Q11" i="20"/>
  <c r="P11" i="20"/>
  <c r="O11" i="20"/>
  <c r="N11" i="20"/>
  <c r="M11" i="20"/>
  <c r="AJ73" i="19"/>
  <c r="AI73" i="19"/>
  <c r="AH73" i="19"/>
  <c r="AG73" i="19"/>
  <c r="AF73" i="19"/>
  <c r="AE73" i="19"/>
  <c r="AD73" i="19"/>
  <c r="AC73" i="19"/>
  <c r="AB73" i="19"/>
  <c r="AA73" i="19"/>
  <c r="Z73" i="19"/>
  <c r="Y73" i="19"/>
  <c r="X73" i="19"/>
  <c r="W73" i="19"/>
  <c r="V73" i="19"/>
  <c r="U73" i="19"/>
  <c r="T73" i="19"/>
  <c r="S73" i="19"/>
  <c r="R73" i="19"/>
  <c r="Q73" i="19"/>
  <c r="P73" i="19"/>
  <c r="O73" i="19"/>
  <c r="N73" i="19"/>
  <c r="M73" i="19"/>
  <c r="AJ31" i="19"/>
  <c r="AI31" i="19"/>
  <c r="AH31" i="19"/>
  <c r="AG31" i="19"/>
  <c r="AF31" i="19"/>
  <c r="AE31" i="19"/>
  <c r="AD31" i="19"/>
  <c r="AC31" i="19"/>
  <c r="AB31" i="19"/>
  <c r="AA31" i="19"/>
  <c r="Z31" i="19"/>
  <c r="Y31" i="19"/>
  <c r="X31" i="19"/>
  <c r="W31" i="19"/>
  <c r="V31" i="19"/>
  <c r="U31" i="19"/>
  <c r="T31" i="19"/>
  <c r="S31" i="19"/>
  <c r="R31" i="19"/>
  <c r="Q31" i="19"/>
  <c r="P31" i="19"/>
  <c r="O31" i="19"/>
  <c r="N31" i="19"/>
  <c r="M31" i="19"/>
  <c r="AJ24" i="19"/>
  <c r="AI24" i="19"/>
  <c r="AH24" i="19"/>
  <c r="AG24" i="19"/>
  <c r="AF24" i="19"/>
  <c r="AE24" i="19"/>
  <c r="AD24" i="19"/>
  <c r="AC24" i="19"/>
  <c r="AB24" i="19"/>
  <c r="AA24" i="19"/>
  <c r="Z24" i="19"/>
  <c r="Y24" i="19"/>
  <c r="X24" i="19"/>
  <c r="W24" i="19"/>
  <c r="V24" i="19"/>
  <c r="U24" i="19"/>
  <c r="T24" i="19"/>
  <c r="S24" i="19"/>
  <c r="R24" i="19"/>
  <c r="Q24" i="19"/>
  <c r="P24" i="19"/>
  <c r="O24" i="19"/>
  <c r="N24" i="19"/>
  <c r="M24" i="19"/>
  <c r="AJ11" i="19"/>
  <c r="AI11" i="19"/>
  <c r="AH11" i="19"/>
  <c r="AG11" i="19"/>
  <c r="AF11" i="19"/>
  <c r="AE11" i="19"/>
  <c r="AD11" i="19"/>
  <c r="AC11" i="19"/>
  <c r="AB11" i="19"/>
  <c r="AA11" i="19"/>
  <c r="Z11" i="19"/>
  <c r="Y11" i="19"/>
  <c r="X11" i="19"/>
  <c r="W11" i="19"/>
  <c r="V11" i="19"/>
  <c r="U11" i="19"/>
  <c r="T11" i="19"/>
  <c r="S11" i="19"/>
  <c r="R11" i="19"/>
  <c r="Q11" i="19"/>
  <c r="P11" i="19"/>
  <c r="O11" i="19"/>
  <c r="N11" i="19"/>
  <c r="M11" i="19"/>
  <c r="AJ73" i="18"/>
  <c r="AI73" i="18"/>
  <c r="AH73" i="18"/>
  <c r="AG73" i="18"/>
  <c r="AF73" i="18"/>
  <c r="AE73" i="18"/>
  <c r="AD73" i="18"/>
  <c r="AC73" i="18"/>
  <c r="AB73" i="18"/>
  <c r="AA73" i="18"/>
  <c r="Z73" i="18"/>
  <c r="Y73" i="18"/>
  <c r="X73" i="18"/>
  <c r="W73" i="18"/>
  <c r="V73" i="18"/>
  <c r="U73" i="18"/>
  <c r="T73" i="18"/>
  <c r="S73" i="18"/>
  <c r="R73" i="18"/>
  <c r="Q73" i="18"/>
  <c r="P73" i="18"/>
  <c r="O73" i="18"/>
  <c r="N73" i="18"/>
  <c r="M73" i="18"/>
  <c r="AJ31" i="18"/>
  <c r="AI31" i="18"/>
  <c r="AH31" i="18"/>
  <c r="AG31" i="18"/>
  <c r="AF31" i="18"/>
  <c r="AE31" i="18"/>
  <c r="AD31" i="18"/>
  <c r="AC31" i="18"/>
  <c r="AB31" i="18"/>
  <c r="AA31" i="18"/>
  <c r="Z31" i="18"/>
  <c r="Y31" i="18"/>
  <c r="X31" i="18"/>
  <c r="W31" i="18"/>
  <c r="V31" i="18"/>
  <c r="U31" i="18"/>
  <c r="T31" i="18"/>
  <c r="S31" i="18"/>
  <c r="R31" i="18"/>
  <c r="Q31" i="18"/>
  <c r="P31" i="18"/>
  <c r="O31" i="18"/>
  <c r="N31" i="18"/>
  <c r="M31" i="18"/>
  <c r="AJ24" i="18"/>
  <c r="AI24" i="18"/>
  <c r="AH24" i="18"/>
  <c r="AG24" i="18"/>
  <c r="AF24" i="18"/>
  <c r="AE24" i="18"/>
  <c r="AD24" i="18"/>
  <c r="AC24" i="18"/>
  <c r="AB24" i="18"/>
  <c r="AA24" i="18"/>
  <c r="Z24" i="18"/>
  <c r="Y24" i="18"/>
  <c r="X24" i="18"/>
  <c r="W24" i="18"/>
  <c r="V24" i="18"/>
  <c r="U24" i="18"/>
  <c r="T24" i="18"/>
  <c r="S24" i="18"/>
  <c r="R24" i="18"/>
  <c r="Q24" i="18"/>
  <c r="P24" i="18"/>
  <c r="O24" i="18"/>
  <c r="N24" i="18"/>
  <c r="M24" i="18"/>
  <c r="AJ11" i="18"/>
  <c r="AI11" i="18"/>
  <c r="AH11" i="18"/>
  <c r="AG11" i="18"/>
  <c r="AF11" i="18"/>
  <c r="AE11" i="18"/>
  <c r="AD11" i="18"/>
  <c r="AC11" i="18"/>
  <c r="AB11" i="18"/>
  <c r="AA11" i="18"/>
  <c r="Z11" i="18"/>
  <c r="Y11" i="18"/>
  <c r="X11" i="18"/>
  <c r="W11" i="18"/>
  <c r="V11" i="18"/>
  <c r="U11" i="18"/>
  <c r="T11" i="18"/>
  <c r="S11" i="18"/>
  <c r="R11" i="18"/>
  <c r="Q11" i="18"/>
  <c r="P11" i="18"/>
  <c r="O11" i="18"/>
  <c r="N11" i="18"/>
  <c r="M11" i="18"/>
  <c r="AJ73" i="17"/>
  <c r="AI73" i="17"/>
  <c r="AH73" i="17"/>
  <c r="AG73" i="17"/>
  <c r="AF73" i="17"/>
  <c r="AE73" i="17"/>
  <c r="AD73" i="17"/>
  <c r="AC73" i="17"/>
  <c r="AB73" i="17"/>
  <c r="AA73" i="17"/>
  <c r="Z73" i="17"/>
  <c r="Y73" i="17"/>
  <c r="X73" i="17"/>
  <c r="W73" i="17"/>
  <c r="V73" i="17"/>
  <c r="U73" i="17"/>
  <c r="T73" i="17"/>
  <c r="S73" i="17"/>
  <c r="R73" i="17"/>
  <c r="Q73" i="17"/>
  <c r="P73" i="17"/>
  <c r="O73" i="17"/>
  <c r="N73" i="17"/>
  <c r="M73" i="17"/>
  <c r="AJ31" i="17"/>
  <c r="AI31" i="17"/>
  <c r="AH31" i="17"/>
  <c r="AG31" i="17"/>
  <c r="AF31" i="17"/>
  <c r="AE31" i="17"/>
  <c r="AD31" i="17"/>
  <c r="AC31" i="17"/>
  <c r="AB31" i="17"/>
  <c r="AA31" i="17"/>
  <c r="Z31" i="17"/>
  <c r="Y31" i="17"/>
  <c r="X31" i="17"/>
  <c r="W31" i="17"/>
  <c r="V31" i="17"/>
  <c r="U31" i="17"/>
  <c r="T31" i="17"/>
  <c r="S31" i="17"/>
  <c r="R31" i="17"/>
  <c r="Q31" i="17"/>
  <c r="P31" i="17"/>
  <c r="O31" i="17"/>
  <c r="N31" i="17"/>
  <c r="M31" i="17"/>
  <c r="AJ24" i="17"/>
  <c r="AI24" i="17"/>
  <c r="AH24" i="17"/>
  <c r="AG24" i="17"/>
  <c r="AF24" i="17"/>
  <c r="AE24" i="17"/>
  <c r="AD24" i="17"/>
  <c r="AC24" i="17"/>
  <c r="AB24" i="17"/>
  <c r="AA24" i="17"/>
  <c r="Z24" i="17"/>
  <c r="Y24" i="17"/>
  <c r="X24" i="17"/>
  <c r="W24" i="17"/>
  <c r="V24" i="17"/>
  <c r="U24" i="17"/>
  <c r="T24" i="17"/>
  <c r="S24" i="17"/>
  <c r="R24" i="17"/>
  <c r="Q24" i="17"/>
  <c r="P24" i="17"/>
  <c r="O24" i="17"/>
  <c r="N24" i="17"/>
  <c r="M24" i="17"/>
  <c r="AJ11" i="17"/>
  <c r="AI11" i="17"/>
  <c r="AH11" i="17"/>
  <c r="AG11" i="17"/>
  <c r="AF11" i="17"/>
  <c r="AE11" i="17"/>
  <c r="AD11" i="17"/>
  <c r="AC11" i="17"/>
  <c r="AB11" i="17"/>
  <c r="AA11" i="17"/>
  <c r="Z11" i="17"/>
  <c r="Y11" i="17"/>
  <c r="X11" i="17"/>
  <c r="W11" i="17"/>
  <c r="V11" i="17"/>
  <c r="U11" i="17"/>
  <c r="T11" i="17"/>
  <c r="S11" i="17"/>
  <c r="R11" i="17"/>
  <c r="Q11" i="17"/>
  <c r="P11" i="17"/>
  <c r="O11" i="17"/>
  <c r="N11" i="17"/>
  <c r="M11" i="17"/>
  <c r="AJ73" i="16"/>
  <c r="AI73" i="16"/>
  <c r="AH73" i="16"/>
  <c r="AG73" i="16"/>
  <c r="AF73" i="16"/>
  <c r="AE73" i="16"/>
  <c r="AD73" i="16"/>
  <c r="AC73" i="16"/>
  <c r="AB73" i="16"/>
  <c r="AA73" i="16"/>
  <c r="Z73" i="16"/>
  <c r="Y73" i="16"/>
  <c r="X73" i="16"/>
  <c r="W73" i="16"/>
  <c r="V73" i="16"/>
  <c r="U73" i="16"/>
  <c r="T73" i="16"/>
  <c r="S73" i="16"/>
  <c r="R73" i="16"/>
  <c r="Q73" i="16"/>
  <c r="P73" i="16"/>
  <c r="O73" i="16"/>
  <c r="N73" i="16"/>
  <c r="M73" i="16"/>
  <c r="AJ31" i="16"/>
  <c r="AI31" i="16"/>
  <c r="AH31" i="16"/>
  <c r="AG31" i="16"/>
  <c r="AF31" i="16"/>
  <c r="AE31" i="16"/>
  <c r="AD31" i="16"/>
  <c r="AC31" i="16"/>
  <c r="AB31" i="16"/>
  <c r="AA31" i="16"/>
  <c r="Z31" i="16"/>
  <c r="Y31" i="16"/>
  <c r="X31" i="16"/>
  <c r="W31" i="16"/>
  <c r="V31" i="16"/>
  <c r="U31" i="16"/>
  <c r="T31" i="16"/>
  <c r="S31" i="16"/>
  <c r="R31" i="16"/>
  <c r="Q31" i="16"/>
  <c r="P31" i="16"/>
  <c r="O31" i="16"/>
  <c r="N31" i="16"/>
  <c r="M31" i="16"/>
  <c r="AJ24" i="16"/>
  <c r="AI24" i="16"/>
  <c r="AH24" i="16"/>
  <c r="AG24" i="16"/>
  <c r="AF24" i="16"/>
  <c r="AE24" i="16"/>
  <c r="AD24" i="16"/>
  <c r="AC24" i="16"/>
  <c r="AB24" i="16"/>
  <c r="AA24" i="16"/>
  <c r="Z24" i="16"/>
  <c r="Y24" i="16"/>
  <c r="X24" i="16"/>
  <c r="W24" i="16"/>
  <c r="V24" i="16"/>
  <c r="U24" i="16"/>
  <c r="T24" i="16"/>
  <c r="S24" i="16"/>
  <c r="R24" i="16"/>
  <c r="Q24" i="16"/>
  <c r="P24" i="16"/>
  <c r="O24" i="16"/>
  <c r="N24" i="16"/>
  <c r="M24" i="16"/>
  <c r="AJ11" i="16"/>
  <c r="AI11" i="16"/>
  <c r="AH11" i="16"/>
  <c r="AG11" i="16"/>
  <c r="AF11" i="16"/>
  <c r="AE11" i="16"/>
  <c r="AD11" i="16"/>
  <c r="AC11" i="16"/>
  <c r="AB11" i="16"/>
  <c r="AA11" i="16"/>
  <c r="Z11" i="16"/>
  <c r="Y11" i="16"/>
  <c r="X11" i="16"/>
  <c r="W11" i="16"/>
  <c r="V11" i="16"/>
  <c r="U11" i="16"/>
  <c r="T11" i="16"/>
  <c r="S11" i="16"/>
  <c r="R11" i="16"/>
  <c r="Q11" i="16"/>
  <c r="P11" i="16"/>
  <c r="O11" i="16"/>
  <c r="N11" i="16"/>
  <c r="M11" i="16"/>
  <c r="AJ73" i="15"/>
  <c r="AI73" i="15"/>
  <c r="AH73" i="15"/>
  <c r="AG73" i="15"/>
  <c r="AF73" i="15"/>
  <c r="AE73" i="15"/>
  <c r="AD73" i="15"/>
  <c r="AC73" i="15"/>
  <c r="AB73" i="15"/>
  <c r="AA73" i="15"/>
  <c r="Z73" i="15"/>
  <c r="Y73" i="15"/>
  <c r="X73" i="15"/>
  <c r="W73" i="15"/>
  <c r="V73" i="15"/>
  <c r="U73" i="15"/>
  <c r="T73" i="15"/>
  <c r="S73" i="15"/>
  <c r="R73" i="15"/>
  <c r="Q73" i="15"/>
  <c r="P73" i="15"/>
  <c r="O73" i="15"/>
  <c r="N73" i="15"/>
  <c r="M73" i="15"/>
  <c r="AJ31" i="15"/>
  <c r="AI31" i="15"/>
  <c r="AH31" i="15"/>
  <c r="AG31" i="15"/>
  <c r="AF31" i="15"/>
  <c r="AE31" i="15"/>
  <c r="AD31" i="15"/>
  <c r="AC31" i="15"/>
  <c r="AB31" i="15"/>
  <c r="AA31" i="15"/>
  <c r="Z31" i="15"/>
  <c r="Y31" i="15"/>
  <c r="X31" i="15"/>
  <c r="W31" i="15"/>
  <c r="V31" i="15"/>
  <c r="U31" i="15"/>
  <c r="T31" i="15"/>
  <c r="S31" i="15"/>
  <c r="R31" i="15"/>
  <c r="Q31" i="15"/>
  <c r="P31" i="15"/>
  <c r="O31" i="15"/>
  <c r="N31" i="15"/>
  <c r="M31" i="15"/>
  <c r="AJ24" i="15"/>
  <c r="AI24" i="15"/>
  <c r="AH24" i="15"/>
  <c r="AG24" i="15"/>
  <c r="AF24" i="15"/>
  <c r="AE24" i="15"/>
  <c r="AD24" i="15"/>
  <c r="AC24" i="15"/>
  <c r="AB24" i="15"/>
  <c r="AA24" i="15"/>
  <c r="Z24" i="15"/>
  <c r="Y24" i="15"/>
  <c r="X24" i="15"/>
  <c r="W24" i="15"/>
  <c r="V24" i="15"/>
  <c r="U24" i="15"/>
  <c r="T24" i="15"/>
  <c r="S24" i="15"/>
  <c r="R24" i="15"/>
  <c r="Q24" i="15"/>
  <c r="P24" i="15"/>
  <c r="O24" i="15"/>
  <c r="N24" i="15"/>
  <c r="M24" i="15"/>
  <c r="AJ11" i="15"/>
  <c r="AI11" i="15"/>
  <c r="AH11" i="15"/>
  <c r="AG11" i="15"/>
  <c r="AF11" i="15"/>
  <c r="AE11" i="15"/>
  <c r="AD11" i="15"/>
  <c r="AC11" i="15"/>
  <c r="AB11" i="15"/>
  <c r="AA11" i="15"/>
  <c r="Z11" i="15"/>
  <c r="Y11" i="15"/>
  <c r="X11" i="15"/>
  <c r="W11" i="15"/>
  <c r="V11" i="15"/>
  <c r="U11" i="15"/>
  <c r="T11" i="15"/>
  <c r="S11" i="15"/>
  <c r="R11" i="15"/>
  <c r="Q11" i="15"/>
  <c r="P11" i="15"/>
  <c r="O11" i="15"/>
  <c r="N11" i="15"/>
  <c r="M11" i="15"/>
  <c r="AJ73" i="14"/>
  <c r="AI73" i="14"/>
  <c r="AH73" i="14"/>
  <c r="AG73" i="14"/>
  <c r="AF73" i="14"/>
  <c r="AE73" i="14"/>
  <c r="AD73" i="14"/>
  <c r="AC73" i="14"/>
  <c r="AB73" i="14"/>
  <c r="AA73" i="14"/>
  <c r="Z73" i="14"/>
  <c r="Y73" i="14"/>
  <c r="X73" i="14"/>
  <c r="W73" i="14"/>
  <c r="V73" i="14"/>
  <c r="U73" i="14"/>
  <c r="T73" i="14"/>
  <c r="S73" i="14"/>
  <c r="R73" i="14"/>
  <c r="Q73" i="14"/>
  <c r="P73" i="14"/>
  <c r="O73" i="14"/>
  <c r="N73" i="14"/>
  <c r="M73" i="14"/>
  <c r="AJ31" i="14"/>
  <c r="AI31" i="14"/>
  <c r="AH31" i="14"/>
  <c r="AG31" i="14"/>
  <c r="AF31" i="14"/>
  <c r="AE31" i="14"/>
  <c r="AD31" i="14"/>
  <c r="AC31" i="14"/>
  <c r="AB31" i="14"/>
  <c r="AA31" i="14"/>
  <c r="Z31" i="14"/>
  <c r="Y31" i="14"/>
  <c r="X31" i="14"/>
  <c r="W31" i="14"/>
  <c r="V31" i="14"/>
  <c r="U31" i="14"/>
  <c r="T31" i="14"/>
  <c r="S31" i="14"/>
  <c r="R31" i="14"/>
  <c r="Q31" i="14"/>
  <c r="P31" i="14"/>
  <c r="O31" i="14"/>
  <c r="N31" i="14"/>
  <c r="M31" i="14"/>
  <c r="AJ24" i="14"/>
  <c r="AI24" i="14"/>
  <c r="AH24" i="14"/>
  <c r="AG24" i="14"/>
  <c r="AF24" i="14"/>
  <c r="AE24" i="14"/>
  <c r="AD24" i="14"/>
  <c r="AC24" i="14"/>
  <c r="AB24" i="14"/>
  <c r="AA24" i="14"/>
  <c r="Z24" i="14"/>
  <c r="Y24" i="14"/>
  <c r="X24" i="14"/>
  <c r="W24" i="14"/>
  <c r="V24" i="14"/>
  <c r="U24" i="14"/>
  <c r="T24" i="14"/>
  <c r="S24" i="14"/>
  <c r="R24" i="14"/>
  <c r="Q24" i="14"/>
  <c r="P24" i="14"/>
  <c r="O24" i="14"/>
  <c r="N24" i="14"/>
  <c r="M24" i="14"/>
  <c r="AJ11" i="14"/>
  <c r="AI11" i="14"/>
  <c r="AH11" i="14"/>
  <c r="AG11" i="14"/>
  <c r="AF11" i="14"/>
  <c r="AE11" i="14"/>
  <c r="AD11" i="14"/>
  <c r="AC11" i="14"/>
  <c r="AB11" i="14"/>
  <c r="AA11" i="14"/>
  <c r="Z11" i="14"/>
  <c r="Y11" i="14"/>
  <c r="X11" i="14"/>
  <c r="W11" i="14"/>
  <c r="V11" i="14"/>
  <c r="U11" i="14"/>
  <c r="T11" i="14"/>
  <c r="S11" i="14"/>
  <c r="R11" i="14"/>
  <c r="Q11" i="14"/>
  <c r="P11" i="14"/>
  <c r="O11" i="14"/>
  <c r="N11" i="14"/>
  <c r="M11" i="14"/>
  <c r="AJ73" i="13"/>
  <c r="AI73" i="13"/>
  <c r="AH73" i="13"/>
  <c r="AG73" i="13"/>
  <c r="AF73" i="13"/>
  <c r="AE73" i="13"/>
  <c r="AD73" i="13"/>
  <c r="AC73" i="13"/>
  <c r="AB73" i="13"/>
  <c r="AA73" i="13"/>
  <c r="Z73" i="13"/>
  <c r="Y73" i="13"/>
  <c r="X73" i="13"/>
  <c r="W73" i="13"/>
  <c r="V73" i="13"/>
  <c r="U73" i="13"/>
  <c r="T73" i="13"/>
  <c r="S73" i="13"/>
  <c r="R73" i="13"/>
  <c r="Q73" i="13"/>
  <c r="P73" i="13"/>
  <c r="O73" i="13"/>
  <c r="N73" i="13"/>
  <c r="M73" i="13"/>
  <c r="AJ31" i="13"/>
  <c r="AI31" i="13"/>
  <c r="AH31" i="13"/>
  <c r="AG31" i="13"/>
  <c r="AF31" i="13"/>
  <c r="AE31" i="13"/>
  <c r="AD31" i="13"/>
  <c r="AC31" i="13"/>
  <c r="AB31" i="13"/>
  <c r="AA31" i="13"/>
  <c r="Z31" i="13"/>
  <c r="Y31" i="13"/>
  <c r="X31" i="13"/>
  <c r="W31" i="13"/>
  <c r="V31" i="13"/>
  <c r="U31" i="13"/>
  <c r="T31" i="13"/>
  <c r="S31" i="13"/>
  <c r="R31" i="13"/>
  <c r="Q31" i="13"/>
  <c r="P31" i="13"/>
  <c r="O31" i="13"/>
  <c r="N31" i="13"/>
  <c r="M31" i="13"/>
  <c r="AJ24" i="13"/>
  <c r="AI24" i="13"/>
  <c r="AH24" i="13"/>
  <c r="AG24" i="13"/>
  <c r="AF24" i="13"/>
  <c r="AE24" i="13"/>
  <c r="AD24" i="13"/>
  <c r="AC24" i="13"/>
  <c r="AB24" i="13"/>
  <c r="AA24" i="13"/>
  <c r="Z24" i="13"/>
  <c r="Y24" i="13"/>
  <c r="X24" i="13"/>
  <c r="W24" i="13"/>
  <c r="V24" i="13"/>
  <c r="U24" i="13"/>
  <c r="T24" i="13"/>
  <c r="S24" i="13"/>
  <c r="R24" i="13"/>
  <c r="Q24" i="13"/>
  <c r="P24" i="13"/>
  <c r="O24" i="13"/>
  <c r="N24" i="13"/>
  <c r="M24" i="13"/>
  <c r="AJ11" i="13"/>
  <c r="AI11" i="13"/>
  <c r="AH11" i="13"/>
  <c r="AG11" i="13"/>
  <c r="AF11" i="13"/>
  <c r="AE11" i="13"/>
  <c r="AD11" i="13"/>
  <c r="AC11" i="13"/>
  <c r="AB11" i="13"/>
  <c r="AA11" i="13"/>
  <c r="Z11" i="13"/>
  <c r="Y11" i="13"/>
  <c r="X11" i="13"/>
  <c r="W11" i="13"/>
  <c r="V11" i="13"/>
  <c r="U11" i="13"/>
  <c r="T11" i="13"/>
  <c r="S11" i="13"/>
  <c r="R11" i="13"/>
  <c r="Q11" i="13"/>
  <c r="P11" i="13"/>
  <c r="O11" i="13"/>
  <c r="N11" i="13"/>
  <c r="M11" i="13"/>
  <c r="AJ73" i="12"/>
  <c r="AI73" i="12"/>
  <c r="AH73" i="12"/>
  <c r="AG73" i="12"/>
  <c r="AF73" i="12"/>
  <c r="AE73" i="12"/>
  <c r="AD73" i="12"/>
  <c r="AC73" i="12"/>
  <c r="AB73" i="12"/>
  <c r="AA73" i="12"/>
  <c r="Z73" i="12"/>
  <c r="Y73" i="12"/>
  <c r="X73" i="12"/>
  <c r="W73" i="12"/>
  <c r="V73" i="12"/>
  <c r="U73" i="12"/>
  <c r="T73" i="12"/>
  <c r="S73" i="12"/>
  <c r="R73" i="12"/>
  <c r="Q73" i="12"/>
  <c r="P73" i="12"/>
  <c r="O73" i="12"/>
  <c r="N73" i="12"/>
  <c r="M73" i="12"/>
  <c r="AJ31" i="12"/>
  <c r="AI31" i="12"/>
  <c r="AH31" i="12"/>
  <c r="AG31" i="12"/>
  <c r="AF31" i="12"/>
  <c r="AE31" i="12"/>
  <c r="AD31" i="12"/>
  <c r="AC31" i="12"/>
  <c r="AB31" i="12"/>
  <c r="AA31" i="12"/>
  <c r="Z31" i="12"/>
  <c r="Y31" i="12"/>
  <c r="X31" i="12"/>
  <c r="W31" i="12"/>
  <c r="V31" i="12"/>
  <c r="U31" i="12"/>
  <c r="T31" i="12"/>
  <c r="S31" i="12"/>
  <c r="R31" i="12"/>
  <c r="Q31" i="12"/>
  <c r="P31" i="12"/>
  <c r="O31" i="12"/>
  <c r="N31" i="12"/>
  <c r="M31" i="12"/>
  <c r="AJ24" i="12"/>
  <c r="AI24" i="12"/>
  <c r="AH24" i="12"/>
  <c r="AG24" i="12"/>
  <c r="AF24" i="12"/>
  <c r="AE24" i="12"/>
  <c r="AD24" i="12"/>
  <c r="AC24" i="12"/>
  <c r="AB24" i="12"/>
  <c r="AA24" i="12"/>
  <c r="Z24" i="12"/>
  <c r="Y24" i="12"/>
  <c r="X24" i="12"/>
  <c r="W24" i="12"/>
  <c r="V24" i="12"/>
  <c r="U24" i="12"/>
  <c r="T24" i="12"/>
  <c r="S24" i="12"/>
  <c r="R24" i="12"/>
  <c r="Q24" i="12"/>
  <c r="P24" i="12"/>
  <c r="O24" i="12"/>
  <c r="N24" i="12"/>
  <c r="M24" i="12"/>
  <c r="AJ11" i="12"/>
  <c r="AI11" i="12"/>
  <c r="AH11" i="12"/>
  <c r="AG11" i="12"/>
  <c r="AF11" i="12"/>
  <c r="AE11" i="12"/>
  <c r="AD11" i="12"/>
  <c r="AC11" i="12"/>
  <c r="AB11" i="12"/>
  <c r="AA11" i="12"/>
  <c r="Z11" i="12"/>
  <c r="Y11" i="12"/>
  <c r="X11" i="12"/>
  <c r="W11" i="12"/>
  <c r="V11" i="12"/>
  <c r="U11" i="12"/>
  <c r="T11" i="12"/>
  <c r="S11" i="12"/>
  <c r="R11" i="12"/>
  <c r="Q11" i="12"/>
  <c r="P11" i="12"/>
  <c r="O11" i="12"/>
  <c r="N11" i="12"/>
  <c r="M11" i="12"/>
  <c r="AJ73" i="11"/>
  <c r="AI73" i="11"/>
  <c r="AH73" i="11"/>
  <c r="AG73" i="11"/>
  <c r="AF73" i="11"/>
  <c r="AE73" i="11"/>
  <c r="AD73" i="11"/>
  <c r="AC73" i="11"/>
  <c r="AB73" i="11"/>
  <c r="AA73" i="11"/>
  <c r="Z73" i="11"/>
  <c r="Y73" i="11"/>
  <c r="X73" i="11"/>
  <c r="W73" i="11"/>
  <c r="V73" i="11"/>
  <c r="U73" i="11"/>
  <c r="T73" i="11"/>
  <c r="S73" i="11"/>
  <c r="R73" i="11"/>
  <c r="Q73" i="11"/>
  <c r="P73" i="11"/>
  <c r="O73" i="11"/>
  <c r="N73" i="11"/>
  <c r="M73" i="11"/>
  <c r="AJ31" i="11"/>
  <c r="AI31" i="11"/>
  <c r="AH31" i="11"/>
  <c r="AG31" i="11"/>
  <c r="AF31" i="11"/>
  <c r="AE31" i="11"/>
  <c r="AD31" i="11"/>
  <c r="AC31" i="11"/>
  <c r="AB31" i="11"/>
  <c r="AA31" i="11"/>
  <c r="Z31" i="11"/>
  <c r="Y31" i="11"/>
  <c r="X31" i="11"/>
  <c r="W31" i="11"/>
  <c r="V31" i="11"/>
  <c r="U31" i="11"/>
  <c r="T31" i="11"/>
  <c r="S31" i="11"/>
  <c r="R31" i="11"/>
  <c r="Q31" i="11"/>
  <c r="P31" i="11"/>
  <c r="O31" i="11"/>
  <c r="N31" i="11"/>
  <c r="M31" i="11"/>
  <c r="AJ24" i="11"/>
  <c r="AI24" i="11"/>
  <c r="AH24" i="11"/>
  <c r="AG24" i="11"/>
  <c r="AF24" i="11"/>
  <c r="AE24" i="11"/>
  <c r="AD24" i="11"/>
  <c r="AC24" i="11"/>
  <c r="AB24" i="11"/>
  <c r="AA24" i="11"/>
  <c r="Z24" i="11"/>
  <c r="Y24" i="11"/>
  <c r="X24" i="11"/>
  <c r="W24" i="11"/>
  <c r="V24" i="11"/>
  <c r="U24" i="11"/>
  <c r="T24" i="11"/>
  <c r="S24" i="11"/>
  <c r="R24" i="11"/>
  <c r="Q24" i="11"/>
  <c r="P24" i="11"/>
  <c r="O24" i="11"/>
  <c r="N24" i="11"/>
  <c r="M24" i="11"/>
  <c r="AJ11" i="11"/>
  <c r="AI11" i="11"/>
  <c r="AH11" i="11"/>
  <c r="AG11" i="11"/>
  <c r="AF11" i="11"/>
  <c r="AE11" i="11"/>
  <c r="AD11" i="11"/>
  <c r="AC11" i="11"/>
  <c r="AB11" i="11"/>
  <c r="AA11" i="11"/>
  <c r="Z11" i="11"/>
  <c r="Y11" i="11"/>
  <c r="X11" i="11"/>
  <c r="W11" i="11"/>
  <c r="V11" i="11"/>
  <c r="U11" i="11"/>
  <c r="T11" i="11"/>
  <c r="S11" i="11"/>
  <c r="R11" i="11"/>
  <c r="Q11" i="11"/>
  <c r="P11" i="11"/>
  <c r="O11" i="11"/>
  <c r="N11" i="11"/>
  <c r="M11" i="11"/>
  <c r="AJ73" i="10"/>
  <c r="AI73" i="10"/>
  <c r="AH73" i="10"/>
  <c r="AG73" i="10"/>
  <c r="AF73" i="10"/>
  <c r="AE73" i="10"/>
  <c r="AD73" i="10"/>
  <c r="AC73" i="10"/>
  <c r="AB73" i="10"/>
  <c r="AA73" i="10"/>
  <c r="Z73" i="10"/>
  <c r="Y73" i="10"/>
  <c r="X73" i="10"/>
  <c r="W73" i="10"/>
  <c r="V73" i="10"/>
  <c r="U73" i="10"/>
  <c r="T73" i="10"/>
  <c r="S73" i="10"/>
  <c r="R73" i="10"/>
  <c r="Q73" i="10"/>
  <c r="P73" i="10"/>
  <c r="O73" i="10"/>
  <c r="N73" i="10"/>
  <c r="M73" i="10"/>
  <c r="AJ31" i="10"/>
  <c r="AI31" i="10"/>
  <c r="AH31" i="10"/>
  <c r="AG31" i="10"/>
  <c r="AF31" i="10"/>
  <c r="AE31" i="10"/>
  <c r="AD31" i="10"/>
  <c r="AC31" i="10"/>
  <c r="AB31" i="10"/>
  <c r="AA31" i="10"/>
  <c r="Z31" i="10"/>
  <c r="Y31" i="10"/>
  <c r="X31" i="10"/>
  <c r="W31" i="10"/>
  <c r="V31" i="10"/>
  <c r="U31" i="10"/>
  <c r="T31" i="10"/>
  <c r="S31" i="10"/>
  <c r="R31" i="10"/>
  <c r="Q31" i="10"/>
  <c r="P31" i="10"/>
  <c r="O31" i="10"/>
  <c r="N31" i="10"/>
  <c r="M31" i="10"/>
  <c r="AJ24" i="10"/>
  <c r="AI24" i="10"/>
  <c r="AH24" i="10"/>
  <c r="AG24" i="10"/>
  <c r="AF24" i="10"/>
  <c r="AE24" i="10"/>
  <c r="AD24" i="10"/>
  <c r="AC24" i="10"/>
  <c r="AB24" i="10"/>
  <c r="AA24" i="10"/>
  <c r="Z24" i="10"/>
  <c r="Y24" i="10"/>
  <c r="X24" i="10"/>
  <c r="W24" i="10"/>
  <c r="V24" i="10"/>
  <c r="U24" i="10"/>
  <c r="T24" i="10"/>
  <c r="S24" i="10"/>
  <c r="R24" i="10"/>
  <c r="Q24" i="10"/>
  <c r="P24" i="10"/>
  <c r="O24" i="10"/>
  <c r="N24" i="10"/>
  <c r="M24" i="10"/>
  <c r="AJ11" i="10"/>
  <c r="AI11" i="10"/>
  <c r="AH11" i="10"/>
  <c r="AG11" i="10"/>
  <c r="AF11" i="10"/>
  <c r="AE11" i="10"/>
  <c r="AD11" i="10"/>
  <c r="AC11" i="10"/>
  <c r="AB11" i="10"/>
  <c r="AA11" i="10"/>
  <c r="Z11" i="10"/>
  <c r="Y11" i="10"/>
  <c r="X11" i="10"/>
  <c r="W11" i="10"/>
  <c r="V11" i="10"/>
  <c r="U11" i="10"/>
  <c r="T11" i="10"/>
  <c r="S11" i="10"/>
  <c r="R11" i="10"/>
  <c r="Q11" i="10"/>
  <c r="P11" i="10"/>
  <c r="O11" i="10"/>
  <c r="N11" i="10"/>
  <c r="M11" i="10"/>
  <c r="AJ73" i="8"/>
  <c r="AI73" i="8"/>
  <c r="AH73" i="8"/>
  <c r="AG73" i="8"/>
  <c r="AF73" i="8"/>
  <c r="AE73" i="8"/>
  <c r="AD73" i="8"/>
  <c r="AC73" i="8"/>
  <c r="AB73" i="8"/>
  <c r="AA73" i="8"/>
  <c r="Z73" i="8"/>
  <c r="Y73" i="8"/>
  <c r="X73" i="8"/>
  <c r="W73" i="8"/>
  <c r="V73" i="8"/>
  <c r="U73" i="8"/>
  <c r="T73" i="8"/>
  <c r="S73" i="8"/>
  <c r="R73" i="8"/>
  <c r="Q73" i="8"/>
  <c r="P73" i="8"/>
  <c r="O73" i="8"/>
  <c r="N73" i="8"/>
  <c r="M73" i="8"/>
  <c r="AJ31" i="8"/>
  <c r="AI31" i="8"/>
  <c r="AH31" i="8"/>
  <c r="AG31" i="8"/>
  <c r="AF31" i="8"/>
  <c r="AE31" i="8"/>
  <c r="AD31" i="8"/>
  <c r="AC31" i="8"/>
  <c r="AB31" i="8"/>
  <c r="AA31" i="8"/>
  <c r="Z31" i="8"/>
  <c r="Y31" i="8"/>
  <c r="X31" i="8"/>
  <c r="W31" i="8"/>
  <c r="V31" i="8"/>
  <c r="U31" i="8"/>
  <c r="T31" i="8"/>
  <c r="S31" i="8"/>
  <c r="R31" i="8"/>
  <c r="Q31" i="8"/>
  <c r="P31" i="8"/>
  <c r="O31" i="8"/>
  <c r="N31" i="8"/>
  <c r="M31" i="8"/>
  <c r="AJ24" i="8"/>
  <c r="AI24" i="8"/>
  <c r="AH24" i="8"/>
  <c r="AG24" i="8"/>
  <c r="AF24" i="8"/>
  <c r="AE24" i="8"/>
  <c r="AD24" i="8"/>
  <c r="AC24" i="8"/>
  <c r="AB24" i="8"/>
  <c r="AA24" i="8"/>
  <c r="Z24" i="8"/>
  <c r="Y24" i="8"/>
  <c r="X24" i="8"/>
  <c r="W24" i="8"/>
  <c r="V24" i="8"/>
  <c r="U24" i="8"/>
  <c r="T24" i="8"/>
  <c r="S24" i="8"/>
  <c r="R24" i="8"/>
  <c r="Q24" i="8"/>
  <c r="P24" i="8"/>
  <c r="O24" i="8"/>
  <c r="N24" i="8"/>
  <c r="M24" i="8"/>
  <c r="AJ11" i="8"/>
  <c r="AI11" i="8"/>
  <c r="AH11" i="8"/>
  <c r="AG11" i="8"/>
  <c r="AF11" i="8"/>
  <c r="AE11" i="8"/>
  <c r="AD11" i="8"/>
  <c r="AC11" i="8"/>
  <c r="AB11" i="8"/>
  <c r="AA11" i="8"/>
  <c r="Z11" i="8"/>
  <c r="Y11" i="8"/>
  <c r="X11" i="8"/>
  <c r="W11" i="8"/>
  <c r="V11" i="8"/>
  <c r="U11" i="8"/>
  <c r="T11" i="8"/>
  <c r="S11" i="8"/>
  <c r="R11" i="8"/>
  <c r="Q11" i="8"/>
  <c r="P11" i="8"/>
  <c r="O11" i="8"/>
  <c r="N11" i="8"/>
  <c r="M11" i="8"/>
  <c r="AJ73" i="6"/>
  <c r="AI73" i="6"/>
  <c r="AH73" i="6"/>
  <c r="AG73" i="6"/>
  <c r="AF73" i="6"/>
  <c r="AE73" i="6"/>
  <c r="AD73" i="6"/>
  <c r="AC73" i="6"/>
  <c r="AB73" i="6"/>
  <c r="AA73" i="6"/>
  <c r="Z73" i="6"/>
  <c r="Y73" i="6"/>
  <c r="X73" i="6"/>
  <c r="W73" i="6"/>
  <c r="V73" i="6"/>
  <c r="U73" i="6"/>
  <c r="T73" i="6"/>
  <c r="S73" i="6"/>
  <c r="R73" i="6"/>
  <c r="Q73" i="6"/>
  <c r="P73" i="6"/>
  <c r="O73" i="6"/>
  <c r="N73" i="6"/>
  <c r="M73" i="6"/>
  <c r="AJ73" i="7"/>
  <c r="AI73" i="7"/>
  <c r="AH73" i="7"/>
  <c r="AG73" i="7"/>
  <c r="AF73" i="7"/>
  <c r="AE73" i="7"/>
  <c r="AD73" i="7"/>
  <c r="AC73" i="7"/>
  <c r="AB73" i="7"/>
  <c r="AA73" i="7"/>
  <c r="Z73" i="7"/>
  <c r="Y73" i="7"/>
  <c r="X73" i="7"/>
  <c r="W73" i="7"/>
  <c r="V73" i="7"/>
  <c r="U73" i="7"/>
  <c r="T73" i="7"/>
  <c r="S73" i="7"/>
  <c r="R73" i="7"/>
  <c r="Q73" i="7"/>
  <c r="P73" i="7"/>
  <c r="O73" i="7"/>
  <c r="N73" i="7"/>
  <c r="M73" i="7"/>
  <c r="AJ31" i="7"/>
  <c r="AI31" i="7"/>
  <c r="AH31" i="7"/>
  <c r="AG31" i="7"/>
  <c r="AF31" i="7"/>
  <c r="AE31" i="7"/>
  <c r="AD31" i="7"/>
  <c r="AC31" i="7"/>
  <c r="AB31" i="7"/>
  <c r="AA31" i="7"/>
  <c r="Z31" i="7"/>
  <c r="Y31" i="7"/>
  <c r="X31" i="7"/>
  <c r="W31" i="7"/>
  <c r="V31" i="7"/>
  <c r="U31" i="7"/>
  <c r="T31" i="7"/>
  <c r="S31" i="7"/>
  <c r="R31" i="7"/>
  <c r="Q31" i="7"/>
  <c r="P31" i="7"/>
  <c r="O31" i="7"/>
  <c r="N31" i="7"/>
  <c r="M31" i="7"/>
  <c r="AJ31" i="6"/>
  <c r="AI31" i="6"/>
  <c r="AH31" i="6"/>
  <c r="AG31" i="6"/>
  <c r="AF31" i="6"/>
  <c r="AE31" i="6"/>
  <c r="AD31" i="6"/>
  <c r="AC31" i="6"/>
  <c r="AB31" i="6"/>
  <c r="AA31" i="6"/>
  <c r="Z31" i="6"/>
  <c r="Y31" i="6"/>
  <c r="X31" i="6"/>
  <c r="W31" i="6"/>
  <c r="V31" i="6"/>
  <c r="U31" i="6"/>
  <c r="T31" i="6"/>
  <c r="S31" i="6"/>
  <c r="R31" i="6"/>
  <c r="Q31" i="6"/>
  <c r="P31" i="6"/>
  <c r="O31" i="6"/>
  <c r="N31" i="6"/>
  <c r="M31" i="6"/>
  <c r="AJ24" i="7"/>
  <c r="AI24" i="7"/>
  <c r="AH24" i="7"/>
  <c r="AG24" i="7"/>
  <c r="AF24" i="7"/>
  <c r="AE24" i="7"/>
  <c r="AD24" i="7"/>
  <c r="AC24" i="7"/>
  <c r="AB24" i="7"/>
  <c r="AA24" i="7"/>
  <c r="Z24" i="7"/>
  <c r="Y24" i="7"/>
  <c r="X24" i="7"/>
  <c r="W24" i="7"/>
  <c r="V24" i="7"/>
  <c r="U24" i="7"/>
  <c r="T24" i="7"/>
  <c r="S24" i="7"/>
  <c r="R24" i="7"/>
  <c r="Q24" i="7"/>
  <c r="P24" i="7"/>
  <c r="O24" i="7"/>
  <c r="N24" i="7"/>
  <c r="M24" i="7"/>
  <c r="AJ11" i="7"/>
  <c r="AI11" i="7"/>
  <c r="AH11" i="7"/>
  <c r="AG11" i="7"/>
  <c r="AF11" i="7"/>
  <c r="AE11" i="7"/>
  <c r="AD11" i="7"/>
  <c r="AC11" i="7"/>
  <c r="AB11" i="7"/>
  <c r="AA11" i="7"/>
  <c r="Z11" i="7"/>
  <c r="Y11" i="7"/>
  <c r="X11" i="7"/>
  <c r="W11" i="7"/>
  <c r="V11" i="7"/>
  <c r="U11" i="7"/>
  <c r="T11" i="7"/>
  <c r="S11" i="7"/>
  <c r="R11" i="7"/>
  <c r="Q11" i="7"/>
  <c r="P11" i="7"/>
  <c r="O11" i="7"/>
  <c r="N11" i="7"/>
  <c r="M11" i="7"/>
  <c r="AJ24" i="6"/>
  <c r="AI24" i="6"/>
  <c r="AH24" i="6"/>
  <c r="AG24" i="6"/>
  <c r="AF24" i="6"/>
  <c r="AE24" i="6"/>
  <c r="AD24" i="6"/>
  <c r="AC24" i="6"/>
  <c r="AB24" i="6"/>
  <c r="AA24" i="6"/>
  <c r="Z24" i="6"/>
  <c r="Y24" i="6"/>
  <c r="X24" i="6"/>
  <c r="W24" i="6"/>
  <c r="V24" i="6"/>
  <c r="U24" i="6"/>
  <c r="T24" i="6"/>
  <c r="S24" i="6"/>
  <c r="R24" i="6"/>
  <c r="Q24" i="6"/>
  <c r="P24" i="6"/>
  <c r="O24" i="6"/>
  <c r="N24" i="6"/>
  <c r="M24" i="6"/>
  <c r="AJ11" i="6"/>
  <c r="AI11" i="6"/>
  <c r="AH11" i="6"/>
  <c r="AG11" i="6"/>
  <c r="AF11" i="6"/>
  <c r="AE11" i="6"/>
  <c r="AD11" i="6"/>
  <c r="AC11" i="6"/>
  <c r="AB11" i="6"/>
  <c r="AA11" i="6"/>
  <c r="Z11" i="6"/>
  <c r="Y11" i="6"/>
  <c r="X11" i="6"/>
  <c r="W11" i="6"/>
  <c r="V11" i="6"/>
  <c r="U11" i="6"/>
  <c r="T11" i="6"/>
  <c r="S11" i="6"/>
  <c r="R11" i="6"/>
  <c r="Q11" i="6"/>
  <c r="P11" i="6"/>
  <c r="O11" i="6"/>
  <c r="N11" i="6"/>
  <c r="M11" i="6"/>
  <c r="AJ24" i="5"/>
  <c r="AI24" i="5"/>
  <c r="AH24" i="5"/>
  <c r="AG24" i="5"/>
  <c r="AF24" i="5"/>
  <c r="AE24" i="5"/>
  <c r="AD24" i="5"/>
  <c r="AC24" i="5"/>
  <c r="AB24" i="5"/>
  <c r="AA24" i="5"/>
  <c r="Z24" i="5"/>
  <c r="Y24" i="5"/>
  <c r="X24" i="5"/>
  <c r="W24" i="5"/>
  <c r="V24" i="5"/>
  <c r="U24" i="5"/>
  <c r="T24" i="5"/>
  <c r="S24" i="5"/>
  <c r="R24" i="5"/>
  <c r="Q24" i="5"/>
  <c r="P24" i="5"/>
  <c r="O24" i="5"/>
  <c r="N24" i="5"/>
  <c r="M24" i="5"/>
  <c r="AJ11" i="5"/>
  <c r="AI11" i="5"/>
  <c r="AH11" i="5"/>
  <c r="AG11" i="5"/>
  <c r="AF11" i="5"/>
  <c r="AE11" i="5"/>
  <c r="AD11" i="5"/>
  <c r="AC11" i="5"/>
  <c r="AB11" i="5"/>
  <c r="AA11" i="5"/>
  <c r="Z11" i="5"/>
  <c r="Y11" i="5"/>
  <c r="X11" i="5"/>
  <c r="W11" i="5"/>
  <c r="V11" i="5"/>
  <c r="U11" i="5"/>
  <c r="T11" i="5"/>
  <c r="S11" i="5"/>
  <c r="R11" i="5"/>
  <c r="Q11" i="5"/>
  <c r="P11" i="5"/>
  <c r="O11" i="5"/>
  <c r="N11" i="5"/>
  <c r="M11" i="5"/>
  <c r="M24" i="4"/>
  <c r="AJ24" i="4"/>
  <c r="AI24" i="4"/>
  <c r="AH24" i="4"/>
  <c r="AG24" i="4"/>
  <c r="AF24" i="4"/>
  <c r="AE24" i="4"/>
  <c r="AD24" i="4"/>
  <c r="AC24" i="4"/>
  <c r="AB24" i="4"/>
  <c r="AA24" i="4"/>
  <c r="Z24" i="4"/>
  <c r="Y24" i="4"/>
  <c r="X24" i="4"/>
  <c r="W24" i="4"/>
  <c r="V24" i="4"/>
  <c r="U24" i="4"/>
  <c r="T24" i="4"/>
  <c r="S24" i="4"/>
  <c r="R24" i="4"/>
  <c r="Q24" i="4"/>
  <c r="P24" i="4"/>
  <c r="O24" i="4"/>
  <c r="N24" i="4"/>
  <c r="AJ11" i="4"/>
  <c r="AI11" i="4"/>
  <c r="AH11" i="4"/>
  <c r="AG11" i="4"/>
  <c r="AF11" i="4"/>
  <c r="AE11" i="4"/>
  <c r="AD11" i="4"/>
  <c r="AC11" i="4"/>
  <c r="AB11" i="4"/>
  <c r="AA11" i="4"/>
  <c r="Z11" i="4"/>
  <c r="Y11" i="4"/>
  <c r="X11" i="4"/>
  <c r="W11" i="4"/>
  <c r="V11" i="4"/>
  <c r="U11" i="4"/>
  <c r="T11" i="4"/>
  <c r="S11" i="4"/>
  <c r="R11" i="4"/>
  <c r="Q11" i="4"/>
  <c r="P11" i="4"/>
  <c r="O11" i="4"/>
  <c r="N11" i="4"/>
  <c r="M11" i="4"/>
  <c r="D28" i="1"/>
  <c r="F28" i="1"/>
  <c r="G28" i="1"/>
  <c r="H28" i="1"/>
  <c r="I28" i="1"/>
  <c r="J28" i="1"/>
  <c r="K28" i="1"/>
  <c r="L28" i="1"/>
  <c r="M28" i="1"/>
  <c r="N28" i="1"/>
  <c r="O28" i="1"/>
  <c r="P28" i="1"/>
  <c r="Q28" i="1"/>
  <c r="R28" i="1"/>
  <c r="S28" i="1"/>
  <c r="T28" i="1"/>
  <c r="U28" i="1"/>
  <c r="V28" i="1"/>
  <c r="W28" i="1"/>
  <c r="X28" i="1"/>
  <c r="Y28" i="1"/>
  <c r="Z28" i="1"/>
  <c r="AA28" i="1"/>
  <c r="AB28" i="1"/>
  <c r="AC28" i="1"/>
  <c r="AD28" i="1"/>
  <c r="AE28" i="1"/>
  <c r="AF28" i="1"/>
  <c r="AG28" i="1"/>
  <c r="AH28" i="1"/>
  <c r="AI28" i="1"/>
  <c r="AJ28" i="1"/>
  <c r="AK28" i="1"/>
  <c r="AL28" i="1"/>
  <c r="AM28" i="1"/>
  <c r="AN28" i="1"/>
  <c r="AO28" i="1"/>
  <c r="AP28" i="1"/>
  <c r="AQ28" i="1"/>
  <c r="AR28" i="1"/>
  <c r="AS28" i="1"/>
  <c r="AT28" i="1"/>
  <c r="AU28" i="1"/>
  <c r="AV28" i="1"/>
  <c r="AW28" i="1"/>
  <c r="AX28" i="1"/>
  <c r="AY28" i="1"/>
  <c r="AZ28" i="1"/>
  <c r="BA28" i="1"/>
  <c r="E28" i="1"/>
  <c r="F27" i="1"/>
  <c r="G27" i="1"/>
  <c r="H27" i="1"/>
  <c r="I27" i="1"/>
  <c r="J27" i="1"/>
  <c r="K27" i="1"/>
  <c r="L27" i="1"/>
  <c r="M27" i="1"/>
  <c r="N27" i="1"/>
  <c r="O27" i="1"/>
  <c r="P27" i="1"/>
  <c r="Q27" i="1"/>
  <c r="R27" i="1"/>
  <c r="S27" i="1"/>
  <c r="T27" i="1"/>
  <c r="U27" i="1"/>
  <c r="V27" i="1"/>
  <c r="W27" i="1"/>
  <c r="X27" i="1"/>
  <c r="Y27" i="1"/>
  <c r="Z27" i="1"/>
  <c r="AA27" i="1"/>
  <c r="AB27" i="1"/>
  <c r="AC27" i="1"/>
  <c r="AD27" i="1"/>
  <c r="AE27" i="1"/>
  <c r="AF27" i="1"/>
  <c r="AG27" i="1"/>
  <c r="AH27" i="1"/>
  <c r="AI27" i="1"/>
  <c r="AJ27" i="1"/>
  <c r="AK27" i="1"/>
  <c r="AL27" i="1"/>
  <c r="AM27" i="1"/>
  <c r="AN27" i="1"/>
  <c r="K76" i="1" s="1"/>
  <c r="AO27" i="1"/>
  <c r="G76" i="1" s="1"/>
  <c r="AP27" i="1"/>
  <c r="H76" i="1" s="1"/>
  <c r="AQ27" i="1"/>
  <c r="I76" i="1" s="1"/>
  <c r="AR27" i="1"/>
  <c r="J76" i="1" s="1"/>
  <c r="AS27" i="1"/>
  <c r="AT27" i="1"/>
  <c r="AU27" i="1"/>
  <c r="AV27" i="1"/>
  <c r="AW27" i="1"/>
  <c r="AX27" i="1"/>
  <c r="AY27" i="1"/>
  <c r="AZ27" i="1"/>
  <c r="BA27" i="1"/>
  <c r="E27" i="1"/>
  <c r="E24" i="1"/>
  <c r="D24" i="1"/>
  <c r="Q76" i="1" l="1"/>
  <c r="P76" i="1"/>
  <c r="N76" i="1"/>
  <c r="M76" i="1"/>
  <c r="F76" i="1"/>
  <c r="L76" i="1"/>
  <c r="E76" i="1"/>
  <c r="O76" i="1"/>
  <c r="I77" i="1"/>
  <c r="H77" i="1"/>
  <c r="J77" i="1"/>
  <c r="G77" i="1"/>
  <c r="F77" i="1"/>
  <c r="E77" i="1"/>
  <c r="K77" i="1"/>
  <c r="L77" i="1"/>
  <c r="M77" i="1"/>
  <c r="N77" i="1"/>
  <c r="O77" i="1"/>
  <c r="P77" i="1"/>
  <c r="Q77" i="1"/>
  <c r="D77" i="1"/>
  <c r="D76" i="1"/>
  <c r="E53" i="1"/>
  <c r="F53" i="1"/>
  <c r="G53" i="1"/>
  <c r="H53" i="1"/>
  <c r="I53" i="1"/>
  <c r="J53" i="1"/>
  <c r="K53" i="1"/>
  <c r="L53" i="1"/>
  <c r="M53" i="1"/>
  <c r="N53" i="1"/>
  <c r="O53" i="1"/>
  <c r="P53" i="1"/>
  <c r="Q53" i="1"/>
  <c r="R53" i="1"/>
  <c r="S53" i="1"/>
  <c r="T53" i="1"/>
  <c r="U53" i="1"/>
  <c r="V53" i="1"/>
  <c r="W53" i="1"/>
  <c r="X53" i="1"/>
  <c r="Y53" i="1"/>
  <c r="Z53" i="1"/>
  <c r="AA53" i="1"/>
  <c r="D53" i="1"/>
  <c r="F52" i="1"/>
  <c r="G52" i="1"/>
  <c r="H52" i="1"/>
  <c r="J52" i="1"/>
  <c r="K52" i="1"/>
  <c r="L52" i="1"/>
  <c r="M52" i="1"/>
  <c r="N52" i="1"/>
  <c r="O52" i="1"/>
  <c r="P52" i="1"/>
  <c r="Q52" i="1"/>
  <c r="R52" i="1"/>
  <c r="S52" i="1"/>
  <c r="T52" i="1"/>
  <c r="U52" i="1"/>
  <c r="V52" i="1"/>
  <c r="W52" i="1"/>
  <c r="X52" i="1"/>
  <c r="Y52" i="1"/>
  <c r="Z52" i="1"/>
  <c r="AA52" i="1"/>
  <c r="E52" i="1"/>
  <c r="D52" i="1"/>
  <c r="F41" i="1"/>
  <c r="G41" i="1"/>
  <c r="H41" i="1"/>
  <c r="I41" i="1"/>
  <c r="J41" i="1"/>
  <c r="K41" i="1"/>
  <c r="L41" i="1"/>
  <c r="M41" i="1"/>
  <c r="N41" i="1"/>
  <c r="O41" i="1"/>
  <c r="P41" i="1"/>
  <c r="Q41" i="1"/>
  <c r="R41" i="1"/>
  <c r="S41" i="1"/>
  <c r="T41" i="1"/>
  <c r="U41" i="1"/>
  <c r="V41" i="1"/>
  <c r="W41" i="1"/>
  <c r="X41" i="1"/>
  <c r="Y41" i="1"/>
  <c r="Z41" i="1"/>
  <c r="AA41" i="1"/>
  <c r="E41" i="1"/>
  <c r="D41" i="1"/>
  <c r="F40" i="1"/>
  <c r="G40" i="1"/>
  <c r="H40" i="1"/>
  <c r="I40" i="1"/>
  <c r="J40" i="1"/>
  <c r="K40" i="1"/>
  <c r="L40" i="1"/>
  <c r="M40" i="1"/>
  <c r="N40" i="1"/>
  <c r="O40" i="1"/>
  <c r="P40" i="1"/>
  <c r="Q40" i="1"/>
  <c r="R40" i="1"/>
  <c r="S40" i="1"/>
  <c r="T40" i="1"/>
  <c r="U40" i="1"/>
  <c r="V40" i="1"/>
  <c r="W40" i="1"/>
  <c r="Y40" i="1"/>
  <c r="Z40" i="1"/>
  <c r="AA40" i="1"/>
  <c r="E40" i="1"/>
  <c r="D40" i="1"/>
  <c r="D64" i="1"/>
  <c r="F65" i="1"/>
  <c r="G65" i="1"/>
  <c r="I65" i="1"/>
  <c r="K65" i="1"/>
  <c r="L65" i="1"/>
  <c r="M65" i="1"/>
  <c r="N65" i="1"/>
  <c r="O65" i="1"/>
  <c r="P65" i="1"/>
  <c r="Q65" i="1"/>
  <c r="R65" i="1"/>
  <c r="S65" i="1"/>
  <c r="T65" i="1"/>
  <c r="U65" i="1"/>
  <c r="V65" i="1"/>
  <c r="W65" i="1"/>
  <c r="X65" i="1"/>
  <c r="Y65" i="1"/>
  <c r="Z65" i="1"/>
  <c r="AA65" i="1"/>
  <c r="F64" i="1"/>
  <c r="G64" i="1"/>
  <c r="H64" i="1"/>
  <c r="I64" i="1"/>
  <c r="J64" i="1"/>
  <c r="K64" i="1"/>
  <c r="L64" i="1"/>
  <c r="M64" i="1"/>
  <c r="N64" i="1"/>
  <c r="O64" i="1"/>
  <c r="P64" i="1"/>
  <c r="Q64" i="1"/>
  <c r="R64" i="1"/>
  <c r="S64" i="1"/>
  <c r="T64" i="1"/>
  <c r="U64" i="1"/>
  <c r="V64" i="1"/>
  <c r="W64" i="1"/>
  <c r="X64" i="1"/>
  <c r="Y64" i="1"/>
  <c r="Z64" i="1"/>
  <c r="AA64" i="1"/>
  <c r="E64" i="1"/>
  <c r="E65" i="1"/>
  <c r="D65" i="1"/>
  <c r="H65" i="1"/>
  <c r="J65" i="1"/>
  <c r="X40" i="1"/>
  <c r="I52" i="1"/>
  <c r="E19" i="1"/>
  <c r="V21" i="1" l="1"/>
  <c r="D26" i="1"/>
  <c r="D21" i="1" l="1"/>
  <c r="E21" i="1"/>
  <c r="F21" i="1"/>
  <c r="G21" i="1"/>
  <c r="H21" i="1" l="1"/>
  <c r="I21" i="1"/>
  <c r="H22" i="1"/>
  <c r="I22" i="1"/>
  <c r="D25" i="1" l="1"/>
  <c r="E25" i="1"/>
  <c r="F25" i="1"/>
  <c r="G25" i="1"/>
  <c r="H25" i="1"/>
  <c r="I25" i="1"/>
  <c r="J25" i="1"/>
  <c r="K25" i="1"/>
  <c r="L25" i="1"/>
  <c r="M25" i="1"/>
  <c r="N25" i="1"/>
  <c r="O25" i="1"/>
  <c r="P25" i="1"/>
  <c r="Q25" i="1"/>
  <c r="R25" i="1"/>
  <c r="S25" i="1"/>
  <c r="T25" i="1"/>
  <c r="U25" i="1"/>
  <c r="V25" i="1"/>
  <c r="W25" i="1"/>
  <c r="X25" i="1"/>
  <c r="Y25" i="1"/>
  <c r="Z25" i="1"/>
  <c r="AA25" i="1"/>
  <c r="AB25" i="1"/>
  <c r="AC25" i="1"/>
  <c r="AD25" i="1"/>
  <c r="AE25" i="1"/>
  <c r="AF25" i="1"/>
  <c r="AG25" i="1"/>
  <c r="AH25" i="1"/>
  <c r="AI25" i="1"/>
  <c r="AJ25" i="1"/>
  <c r="AK25" i="1"/>
  <c r="AL25" i="1"/>
  <c r="AM25" i="1"/>
  <c r="AN25" i="1"/>
  <c r="AO25" i="1"/>
  <c r="AP25" i="1"/>
  <c r="AQ25" i="1"/>
  <c r="AR25" i="1"/>
  <c r="AS25" i="1"/>
  <c r="AT25" i="1"/>
  <c r="AU25" i="1"/>
  <c r="AV25" i="1"/>
  <c r="AW25" i="1"/>
  <c r="AX25" i="1"/>
  <c r="AY25" i="1"/>
  <c r="AZ25" i="1"/>
  <c r="BA25" i="1"/>
  <c r="E26" i="1"/>
  <c r="F26" i="1"/>
  <c r="G26" i="1"/>
  <c r="H26" i="1"/>
  <c r="I26" i="1"/>
  <c r="J26" i="1"/>
  <c r="K26" i="1"/>
  <c r="L26" i="1"/>
  <c r="M26" i="1"/>
  <c r="N26" i="1"/>
  <c r="O26" i="1"/>
  <c r="P26" i="1"/>
  <c r="Q26" i="1"/>
  <c r="R26" i="1"/>
  <c r="S26" i="1"/>
  <c r="T26" i="1"/>
  <c r="U26" i="1"/>
  <c r="V26" i="1"/>
  <c r="W26" i="1"/>
  <c r="X26" i="1"/>
  <c r="Y26" i="1"/>
  <c r="Z26" i="1"/>
  <c r="AA26" i="1"/>
  <c r="AB26" i="1"/>
  <c r="AC26" i="1"/>
  <c r="AD26" i="1"/>
  <c r="AE26" i="1"/>
  <c r="AF26" i="1"/>
  <c r="AG26" i="1"/>
  <c r="AH26" i="1"/>
  <c r="AI26" i="1"/>
  <c r="AJ26" i="1"/>
  <c r="AK26" i="1"/>
  <c r="AL26" i="1"/>
  <c r="AM26" i="1"/>
  <c r="AN26" i="1"/>
  <c r="AO26" i="1"/>
  <c r="AP26" i="1"/>
  <c r="AQ26" i="1"/>
  <c r="AR26" i="1"/>
  <c r="AS26" i="1"/>
  <c r="AT26" i="1"/>
  <c r="AU26" i="1"/>
  <c r="AV26" i="1"/>
  <c r="AW26" i="1"/>
  <c r="AX26" i="1"/>
  <c r="AY26" i="1"/>
  <c r="AZ26" i="1"/>
  <c r="BA26" i="1"/>
  <c r="AZ24" i="1"/>
  <c r="BA24" i="1"/>
  <c r="AZ23" i="1"/>
  <c r="BA23" i="1"/>
  <c r="AZ22" i="1"/>
  <c r="BA22" i="1"/>
  <c r="AZ21" i="1"/>
  <c r="BA21" i="1"/>
  <c r="AZ20" i="1"/>
  <c r="BA20" i="1"/>
  <c r="AZ19" i="1"/>
  <c r="BA19" i="1"/>
  <c r="D19" i="1"/>
  <c r="F19" i="1"/>
  <c r="G19" i="1"/>
  <c r="H19" i="1"/>
  <c r="I19" i="1"/>
  <c r="J19" i="1"/>
  <c r="K19" i="1"/>
  <c r="L19" i="1"/>
  <c r="M19" i="1"/>
  <c r="N19" i="1"/>
  <c r="O19" i="1"/>
  <c r="P19" i="1"/>
  <c r="Q19" i="1"/>
  <c r="R19" i="1"/>
  <c r="S19" i="1"/>
  <c r="T19" i="1"/>
  <c r="U19" i="1"/>
  <c r="V19" i="1"/>
  <c r="W19" i="1"/>
  <c r="X19" i="1"/>
  <c r="Y19" i="1"/>
  <c r="Z19" i="1"/>
  <c r="AA19" i="1"/>
  <c r="AB19" i="1"/>
  <c r="D56" i="1" s="1"/>
  <c r="AC19" i="1"/>
  <c r="AD19" i="1"/>
  <c r="AE19" i="1"/>
  <c r="AF19" i="1"/>
  <c r="AG19" i="1"/>
  <c r="AH19" i="1"/>
  <c r="AI19" i="1"/>
  <c r="AJ19" i="1"/>
  <c r="AK19" i="1"/>
  <c r="AL19" i="1"/>
  <c r="AM19" i="1"/>
  <c r="AN19" i="1"/>
  <c r="AO19" i="1"/>
  <c r="AP19" i="1"/>
  <c r="AQ19" i="1"/>
  <c r="AR19" i="1"/>
  <c r="AS19" i="1"/>
  <c r="AT19" i="1"/>
  <c r="AU19" i="1"/>
  <c r="AV19" i="1"/>
  <c r="AW19" i="1"/>
  <c r="AX19" i="1"/>
  <c r="AY19" i="1"/>
  <c r="D20" i="1"/>
  <c r="E20" i="1"/>
  <c r="F20" i="1"/>
  <c r="G20" i="1"/>
  <c r="H20" i="1"/>
  <c r="I20" i="1"/>
  <c r="J20" i="1"/>
  <c r="K20" i="1"/>
  <c r="L20" i="1"/>
  <c r="M20" i="1"/>
  <c r="N20" i="1"/>
  <c r="O20" i="1"/>
  <c r="P20" i="1"/>
  <c r="Q20" i="1"/>
  <c r="R20" i="1"/>
  <c r="S20" i="1"/>
  <c r="T20" i="1"/>
  <c r="U20" i="1"/>
  <c r="V20" i="1"/>
  <c r="W20" i="1"/>
  <c r="X20" i="1"/>
  <c r="Y20" i="1"/>
  <c r="Z20" i="1"/>
  <c r="AA20" i="1"/>
  <c r="AB20" i="1"/>
  <c r="AC20" i="1"/>
  <c r="AD20" i="1"/>
  <c r="AE20" i="1"/>
  <c r="AF20" i="1"/>
  <c r="AG20" i="1"/>
  <c r="AH20" i="1"/>
  <c r="AI20" i="1"/>
  <c r="AJ20" i="1"/>
  <c r="AK20" i="1"/>
  <c r="AL20" i="1"/>
  <c r="AM20" i="1"/>
  <c r="AN20" i="1"/>
  <c r="AO20" i="1"/>
  <c r="AP20" i="1"/>
  <c r="AQ20" i="1"/>
  <c r="AR20" i="1"/>
  <c r="AS20" i="1"/>
  <c r="AT20" i="1"/>
  <c r="AU20" i="1"/>
  <c r="AV20" i="1"/>
  <c r="AW20" i="1"/>
  <c r="AX20" i="1"/>
  <c r="AY20" i="1"/>
  <c r="J21" i="1"/>
  <c r="K21" i="1"/>
  <c r="L21" i="1"/>
  <c r="M21" i="1"/>
  <c r="N21" i="1"/>
  <c r="O21" i="1"/>
  <c r="P21" i="1"/>
  <c r="Q21" i="1"/>
  <c r="R21" i="1"/>
  <c r="S21" i="1"/>
  <c r="T21" i="1"/>
  <c r="U21" i="1"/>
  <c r="W21" i="1"/>
  <c r="X21" i="1"/>
  <c r="Y21" i="1"/>
  <c r="Z21" i="1"/>
  <c r="AA21" i="1"/>
  <c r="AB21" i="1"/>
  <c r="AC21" i="1"/>
  <c r="AD21" i="1"/>
  <c r="AE21" i="1"/>
  <c r="AF21" i="1"/>
  <c r="AG21" i="1"/>
  <c r="AH21" i="1"/>
  <c r="AI21" i="1"/>
  <c r="AJ21" i="1"/>
  <c r="AK21" i="1"/>
  <c r="AL21" i="1"/>
  <c r="AM21" i="1"/>
  <c r="AN21" i="1"/>
  <c r="AO21" i="1"/>
  <c r="AP21" i="1"/>
  <c r="AQ21" i="1"/>
  <c r="AR21" i="1"/>
  <c r="AS21" i="1"/>
  <c r="AT21" i="1"/>
  <c r="AU21" i="1"/>
  <c r="AV21" i="1"/>
  <c r="AW21" i="1"/>
  <c r="AX21" i="1"/>
  <c r="AY21" i="1"/>
  <c r="D22" i="1"/>
  <c r="E22" i="1"/>
  <c r="F22" i="1"/>
  <c r="G22" i="1"/>
  <c r="J22" i="1"/>
  <c r="K22" i="1"/>
  <c r="L22" i="1"/>
  <c r="M22" i="1"/>
  <c r="N22" i="1"/>
  <c r="O22" i="1"/>
  <c r="P22" i="1"/>
  <c r="Q22" i="1"/>
  <c r="R22" i="1"/>
  <c r="S22" i="1"/>
  <c r="T22" i="1"/>
  <c r="U22" i="1"/>
  <c r="V22" i="1"/>
  <c r="W22" i="1"/>
  <c r="X22" i="1"/>
  <c r="Y22" i="1"/>
  <c r="Z22" i="1"/>
  <c r="AA22" i="1"/>
  <c r="AB22" i="1"/>
  <c r="D59" i="1" s="1"/>
  <c r="AC22" i="1"/>
  <c r="AD22" i="1"/>
  <c r="AE22" i="1"/>
  <c r="AF22" i="1"/>
  <c r="AG22" i="1"/>
  <c r="AH22" i="1"/>
  <c r="AI22" i="1"/>
  <c r="AJ22" i="1"/>
  <c r="AK22" i="1"/>
  <c r="AL22" i="1"/>
  <c r="AM22" i="1"/>
  <c r="AN22" i="1"/>
  <c r="AO22" i="1"/>
  <c r="AP22" i="1"/>
  <c r="AQ22" i="1"/>
  <c r="AR22" i="1"/>
  <c r="AS22" i="1"/>
  <c r="AT22" i="1"/>
  <c r="AU22" i="1"/>
  <c r="AV22" i="1"/>
  <c r="AW22" i="1"/>
  <c r="AX22" i="1"/>
  <c r="AY22" i="1"/>
  <c r="D23" i="1"/>
  <c r="E23" i="1"/>
  <c r="F23" i="1"/>
  <c r="G23" i="1"/>
  <c r="H23" i="1"/>
  <c r="I23" i="1"/>
  <c r="J23" i="1"/>
  <c r="K23" i="1"/>
  <c r="L23" i="1"/>
  <c r="M23" i="1"/>
  <c r="N23" i="1"/>
  <c r="O23" i="1"/>
  <c r="P23" i="1"/>
  <c r="Q23" i="1"/>
  <c r="R23" i="1"/>
  <c r="S23" i="1"/>
  <c r="T23" i="1"/>
  <c r="U23" i="1"/>
  <c r="V23" i="1"/>
  <c r="W23" i="1"/>
  <c r="X23" i="1"/>
  <c r="Y23" i="1"/>
  <c r="Z23" i="1"/>
  <c r="AA23" i="1"/>
  <c r="AB23" i="1"/>
  <c r="AC23" i="1"/>
  <c r="AD23" i="1"/>
  <c r="AE23" i="1"/>
  <c r="AF23" i="1"/>
  <c r="AG23" i="1"/>
  <c r="AH23" i="1"/>
  <c r="AI23" i="1"/>
  <c r="AJ23" i="1"/>
  <c r="AK23" i="1"/>
  <c r="AL23" i="1"/>
  <c r="AM23" i="1"/>
  <c r="AN23" i="1"/>
  <c r="AO23" i="1"/>
  <c r="AP23" i="1"/>
  <c r="AQ23" i="1"/>
  <c r="AR23" i="1"/>
  <c r="AS23" i="1"/>
  <c r="AT23" i="1"/>
  <c r="AU23" i="1"/>
  <c r="AV23" i="1"/>
  <c r="AW23" i="1"/>
  <c r="AX23" i="1"/>
  <c r="AY23" i="1"/>
  <c r="F24" i="1"/>
  <c r="G24" i="1"/>
  <c r="H24" i="1"/>
  <c r="I24" i="1"/>
  <c r="J24" i="1"/>
  <c r="K24" i="1"/>
  <c r="L24" i="1"/>
  <c r="M24" i="1"/>
  <c r="N24" i="1"/>
  <c r="O24" i="1"/>
  <c r="P24" i="1"/>
  <c r="Q24" i="1"/>
  <c r="R24" i="1"/>
  <c r="S24" i="1"/>
  <c r="T24" i="1"/>
  <c r="U24" i="1"/>
  <c r="V24" i="1"/>
  <c r="W24" i="1"/>
  <c r="X24" i="1"/>
  <c r="Y24" i="1"/>
  <c r="Z24" i="1"/>
  <c r="AA24" i="1"/>
  <c r="AB24" i="1"/>
  <c r="AC24" i="1"/>
  <c r="AD24" i="1"/>
  <c r="AE24" i="1"/>
  <c r="AF24" i="1"/>
  <c r="AG24" i="1"/>
  <c r="AH24" i="1"/>
  <c r="AI24" i="1"/>
  <c r="AJ24" i="1"/>
  <c r="AK24" i="1"/>
  <c r="AL24" i="1"/>
  <c r="AM24" i="1"/>
  <c r="AN24" i="1"/>
  <c r="AO24" i="1"/>
  <c r="AP24" i="1"/>
  <c r="AQ24" i="1"/>
  <c r="AR24" i="1"/>
  <c r="AS24" i="1"/>
  <c r="AT24" i="1"/>
  <c r="AU24" i="1"/>
  <c r="AV24" i="1"/>
  <c r="AW24" i="1"/>
  <c r="AX24" i="1"/>
  <c r="AY24" i="1"/>
  <c r="M11" i="2"/>
  <c r="N11" i="2"/>
  <c r="O11" i="2"/>
  <c r="P11" i="2"/>
  <c r="Q11" i="2"/>
  <c r="R11" i="2"/>
  <c r="S11" i="2"/>
  <c r="T11" i="2"/>
  <c r="U11" i="2"/>
  <c r="V11" i="2"/>
  <c r="W11" i="2"/>
  <c r="X11" i="2"/>
  <c r="Y11" i="2"/>
  <c r="Z11" i="2"/>
  <c r="AA11" i="2"/>
  <c r="AB11" i="2"/>
  <c r="AC11" i="2"/>
  <c r="AD11" i="2"/>
  <c r="AE11" i="2"/>
  <c r="AF11" i="2"/>
  <c r="AG11" i="2"/>
  <c r="AH11" i="2"/>
  <c r="AI11" i="2"/>
  <c r="AJ11" i="2"/>
  <c r="M24" i="2"/>
  <c r="N24" i="2"/>
  <c r="O24" i="2"/>
  <c r="P24" i="2"/>
  <c r="Q24" i="2"/>
  <c r="R24" i="2"/>
  <c r="S24" i="2"/>
  <c r="T24" i="2"/>
  <c r="U24" i="2"/>
  <c r="V24" i="2"/>
  <c r="W24" i="2"/>
  <c r="X24" i="2"/>
  <c r="Y24" i="2"/>
  <c r="Z24" i="2"/>
  <c r="AA24" i="2"/>
  <c r="AB24" i="2"/>
  <c r="AC24" i="2"/>
  <c r="AD24" i="2"/>
  <c r="AE24" i="2"/>
  <c r="AF24" i="2"/>
  <c r="AG24" i="2"/>
  <c r="AH24" i="2"/>
  <c r="AI24" i="2"/>
  <c r="AJ24" i="2"/>
  <c r="I57" i="1" l="1"/>
  <c r="Y57" i="1"/>
  <c r="J57" i="1"/>
  <c r="Z57" i="1"/>
  <c r="K57" i="1"/>
  <c r="AA57" i="1"/>
  <c r="L57" i="1"/>
  <c r="D57" i="1"/>
  <c r="M57" i="1"/>
  <c r="S57" i="1"/>
  <c r="T57" i="1"/>
  <c r="U57" i="1"/>
  <c r="V57" i="1"/>
  <c r="W57" i="1"/>
  <c r="X57" i="1"/>
  <c r="F57" i="1"/>
  <c r="E57" i="1"/>
  <c r="G57" i="1"/>
  <c r="H57" i="1"/>
  <c r="N57" i="1"/>
  <c r="O57" i="1"/>
  <c r="P57" i="1"/>
  <c r="R57" i="1"/>
  <c r="Q57" i="1"/>
  <c r="O56" i="1"/>
  <c r="P56" i="1"/>
  <c r="Q56" i="1"/>
  <c r="R56" i="1"/>
  <c r="S56" i="1"/>
  <c r="N56" i="1"/>
  <c r="T56" i="1"/>
  <c r="U56" i="1"/>
  <c r="V56" i="1"/>
  <c r="W56" i="1"/>
  <c r="Y56" i="1"/>
  <c r="E56" i="1"/>
  <c r="AA56" i="1"/>
  <c r="G56" i="1"/>
  <c r="X56" i="1"/>
  <c r="Z56" i="1"/>
  <c r="F56" i="1"/>
  <c r="H56" i="1"/>
  <c r="I56" i="1"/>
  <c r="K56" i="1"/>
  <c r="L56" i="1"/>
  <c r="M56" i="1"/>
  <c r="J56" i="1"/>
  <c r="M62" i="1"/>
  <c r="N62" i="1"/>
  <c r="O62" i="1"/>
  <c r="P62" i="1"/>
  <c r="Q62" i="1"/>
  <c r="R62" i="1"/>
  <c r="L62" i="1"/>
  <c r="S62" i="1"/>
  <c r="T62" i="1"/>
  <c r="U62" i="1"/>
  <c r="W62" i="1"/>
  <c r="X62" i="1"/>
  <c r="AA62" i="1"/>
  <c r="V62" i="1"/>
  <c r="D62" i="1"/>
  <c r="Y62" i="1"/>
  <c r="Z62" i="1"/>
  <c r="E62" i="1"/>
  <c r="F62" i="1"/>
  <c r="G62" i="1"/>
  <c r="H62" i="1"/>
  <c r="I62" i="1"/>
  <c r="K62" i="1"/>
  <c r="J62" i="1"/>
  <c r="G61" i="1"/>
  <c r="W61" i="1"/>
  <c r="H61" i="1"/>
  <c r="X61" i="1"/>
  <c r="I61" i="1"/>
  <c r="Y61" i="1"/>
  <c r="J61" i="1"/>
  <c r="Z61" i="1"/>
  <c r="K61" i="1"/>
  <c r="AA61" i="1"/>
  <c r="D61" i="1"/>
  <c r="L61" i="1"/>
  <c r="R61" i="1"/>
  <c r="S61" i="1"/>
  <c r="T61" i="1"/>
  <c r="U61" i="1"/>
  <c r="V61" i="1"/>
  <c r="E61" i="1"/>
  <c r="F61" i="1"/>
  <c r="N61" i="1"/>
  <c r="P61" i="1"/>
  <c r="M61" i="1"/>
  <c r="O61" i="1"/>
  <c r="Q61" i="1"/>
  <c r="P60" i="1"/>
  <c r="Q60" i="1"/>
  <c r="R60" i="1"/>
  <c r="S60" i="1"/>
  <c r="T60" i="1"/>
  <c r="U60" i="1"/>
  <c r="V60" i="1"/>
  <c r="W60" i="1"/>
  <c r="X60" i="1"/>
  <c r="Y60" i="1"/>
  <c r="E60" i="1"/>
  <c r="Z60" i="1"/>
  <c r="F60" i="1"/>
  <c r="AA60" i="1"/>
  <c r="G60" i="1"/>
  <c r="D60" i="1"/>
  <c r="H60" i="1"/>
  <c r="I60" i="1"/>
  <c r="N60" i="1"/>
  <c r="J60" i="1"/>
  <c r="K60" i="1"/>
  <c r="L60" i="1"/>
  <c r="M60" i="1"/>
  <c r="O60" i="1"/>
  <c r="O59" i="1"/>
  <c r="P59" i="1"/>
  <c r="Q59" i="1"/>
  <c r="R59" i="1"/>
  <c r="S59" i="1"/>
  <c r="T59" i="1"/>
  <c r="U59" i="1"/>
  <c r="F59" i="1"/>
  <c r="V59" i="1"/>
  <c r="G59" i="1"/>
  <c r="W59" i="1"/>
  <c r="H59" i="1"/>
  <c r="X59" i="1"/>
  <c r="Y59" i="1"/>
  <c r="Z59" i="1"/>
  <c r="K59" i="1"/>
  <c r="M59" i="1"/>
  <c r="E59" i="1"/>
  <c r="I59" i="1"/>
  <c r="J59" i="1"/>
  <c r="AA59" i="1"/>
  <c r="L59" i="1"/>
  <c r="N59" i="1"/>
  <c r="P58" i="1"/>
  <c r="Q58" i="1"/>
  <c r="S58" i="1"/>
  <c r="T58" i="1"/>
  <c r="D58" i="1"/>
  <c r="E58" i="1"/>
  <c r="R58" i="1"/>
  <c r="F58" i="1"/>
  <c r="V58" i="1"/>
  <c r="G58" i="1"/>
  <c r="W58" i="1"/>
  <c r="H58" i="1"/>
  <c r="X58" i="1"/>
  <c r="I58" i="1"/>
  <c r="Y58" i="1"/>
  <c r="J58" i="1"/>
  <c r="Z58" i="1"/>
  <c r="K58" i="1"/>
  <c r="AA58" i="1"/>
  <c r="L58" i="1"/>
  <c r="M58" i="1"/>
  <c r="N58" i="1"/>
  <c r="O58" i="1"/>
  <c r="U58" i="1"/>
  <c r="R63" i="1"/>
  <c r="T63" i="1"/>
  <c r="U63" i="1"/>
  <c r="F63" i="1"/>
  <c r="G63" i="1"/>
  <c r="W63" i="1"/>
  <c r="H63" i="1"/>
  <c r="X63" i="1"/>
  <c r="I63" i="1"/>
  <c r="Y63" i="1"/>
  <c r="J63" i="1"/>
  <c r="Z63" i="1"/>
  <c r="D63" i="1"/>
  <c r="K63" i="1"/>
  <c r="AA63" i="1"/>
  <c r="L63" i="1"/>
  <c r="M63" i="1"/>
  <c r="N63" i="1"/>
  <c r="O63" i="1"/>
  <c r="P63" i="1"/>
  <c r="Q63" i="1"/>
  <c r="S63" i="1"/>
  <c r="E63" i="1"/>
  <c r="V63" i="1"/>
</calcChain>
</file>

<file path=xl/sharedStrings.xml><?xml version="1.0" encoding="utf-8"?>
<sst xmlns="http://schemas.openxmlformats.org/spreadsheetml/2006/main" count="4334" uniqueCount="134">
  <si>
    <t>*기준일: Earning report date 
*Earning report date =&gt; M0</t>
  </si>
  <si>
    <t>PRICE ($)</t>
  </si>
  <si>
    <t>투자시점 가격</t>
  </si>
  <si>
    <t>M0</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</si>
  <si>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</si>
  <si>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</si>
  <si>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</si>
  <si>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</si>
  <si>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</si>
  <si>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</si>
  <si>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</si>
  <si>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</si>
  <si>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</si>
  <si>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</si>
  <si>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</si>
  <si>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</si>
  <si>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</si>
  <si>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</si>
  <si>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</si>
  <si>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</si>
  <si>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</si>
  <si>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</si>
  <si>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</si>
  <si>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</si>
  <si>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</si>
  <si>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</si>
  <si>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</si>
  <si>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</si>
  <si>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</si>
  <si>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</si>
  <si>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</si>
  <si>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</si>
  <si>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</si>
  <si>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</si>
  <si>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</si>
  <si>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</si>
  <si>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</si>
  <si>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</si>
  <si>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</si>
  <si>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</si>
  <si>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</si>
  <si>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</si>
  <si>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</si>
  <si>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</si>
  <si>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</si>
  <si>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</si>
  <si>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</si>
  <si>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</si>
  <si>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</si>
  <si>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</si>
  <si>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</si>
  <si>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</si>
  <si>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</si>
  <si>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</si>
  <si>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</si>
  <si>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</si>
  <si>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</si>
  <si>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1+HPR</t>
  </si>
  <si>
    <t>AVG</t>
  </si>
  <si>
    <t>BAD</t>
  </si>
  <si>
    <t>GOOD</t>
  </si>
  <si>
    <t>Current Ratio</t>
    <phoneticPr fontId="0" type="noConversion"/>
  </si>
  <si>
    <t>M54</t>
  </si>
  <si>
    <t>M55</t>
  </si>
  <si>
    <t>M56</t>
  </si>
  <si>
    <t>M57</t>
  </si>
  <si>
    <t>M58</t>
  </si>
  <si>
    <t>M59</t>
  </si>
  <si>
    <t>M60</t>
  </si>
  <si>
    <t>AAL</t>
  </si>
  <si>
    <t>LUV</t>
  </si>
  <si>
    <t>ULCC</t>
  </si>
  <si>
    <t>ALGT</t>
  </si>
  <si>
    <t>DAL</t>
  </si>
  <si>
    <t>UAL</t>
  </si>
  <si>
    <t>JBLU</t>
  </si>
  <si>
    <t>ALK</t>
  </si>
  <si>
    <t>Cumulative returns
2023 공시 후 (%)</t>
  </si>
  <si>
    <t>Cumulative returns
2021 공시 후 (%)</t>
  </si>
  <si>
    <t>Cumulative returns
2022 공시 후(%)</t>
  </si>
  <si>
    <t>Cumulative returns
2024 공시 후 (%)</t>
  </si>
  <si>
    <t>2021 공시 후</t>
  </si>
  <si>
    <t>2022 공시 후</t>
  </si>
  <si>
    <t>2023 공시 후</t>
  </si>
  <si>
    <t>2024 공시 후</t>
  </si>
  <si>
    <t>Acid-test ratio</t>
  </si>
  <si>
    <t>market</t>
  </si>
  <si>
    <t>market</t>
    <phoneticPr fontId="8" type="noConversion"/>
  </si>
  <si>
    <t>s&amp;P 500</t>
    <phoneticPr fontId="8" type="noConversion"/>
  </si>
  <si>
    <t>Accounts receivable turnover</t>
    <phoneticPr fontId="13" type="noConversion"/>
  </si>
  <si>
    <t>Market</t>
    <phoneticPr fontId="13" type="noConversion"/>
  </si>
  <si>
    <t>2021 공시 후</t>
    <phoneticPr fontId="13" type="noConversion"/>
  </si>
  <si>
    <t>2022 공시 후</t>
    <phoneticPr fontId="13" type="noConversion"/>
  </si>
  <si>
    <t>2023 공시 후</t>
    <phoneticPr fontId="13" type="noConversion"/>
  </si>
  <si>
    <t>2024 공시 후</t>
    <phoneticPr fontId="13" type="noConversion"/>
  </si>
  <si>
    <t>Average collection period</t>
    <phoneticPr fontId="13" type="noConversion"/>
  </si>
  <si>
    <t>UAL</t>
    <phoneticPr fontId="13" type="noConversion"/>
  </si>
  <si>
    <t>JBLU</t>
    <phoneticPr fontId="13" type="noConversion"/>
  </si>
  <si>
    <t>ULCC</t>
    <phoneticPr fontId="13" type="noConversion"/>
  </si>
  <si>
    <t>LUV</t>
    <phoneticPr fontId="13" type="noConversion"/>
  </si>
  <si>
    <t>ALK</t>
    <phoneticPr fontId="13" type="noConversion"/>
  </si>
  <si>
    <t>ALGT</t>
    <phoneticPr fontId="13" type="noConversion"/>
  </si>
  <si>
    <t>DAL</t>
    <phoneticPr fontId="13" type="noConversion"/>
  </si>
  <si>
    <t>Inventory turnover</t>
    <phoneticPr fontId="13" type="noConversion"/>
  </si>
  <si>
    <t>AAL</t>
    <phoneticPr fontId="13" type="noConversion"/>
  </si>
  <si>
    <t>Average sale period</t>
    <phoneticPr fontId="13" type="noConversion"/>
  </si>
  <si>
    <t>S&amp;P 500</t>
    <phoneticPr fontId="13" type="noConversion"/>
  </si>
  <si>
    <t>Operating cycle</t>
    <phoneticPr fontId="13" type="noConversion"/>
  </si>
  <si>
    <t>Total asset turnover</t>
    <phoneticPr fontId="13" type="noConversion"/>
  </si>
  <si>
    <t>Times interest earned</t>
    <phoneticPr fontId="13" type="noConversion"/>
  </si>
  <si>
    <t>Debt-to-equity ratio</t>
    <phoneticPr fontId="13" type="noConversion"/>
  </si>
  <si>
    <t>AIGT</t>
    <phoneticPr fontId="13" type="noConversion"/>
  </si>
  <si>
    <t>Equity multiplier</t>
    <phoneticPr fontId="13" type="noConversion"/>
  </si>
  <si>
    <t>JBJLU</t>
    <phoneticPr fontId="13" type="noConversion"/>
  </si>
  <si>
    <t>Net profit margin percentage</t>
    <phoneticPr fontId="13" type="noConversion"/>
  </si>
  <si>
    <t>ALX</t>
    <phoneticPr fontId="13" type="noConversion"/>
  </si>
  <si>
    <t>Return on total assets (ROA)</t>
    <phoneticPr fontId="13" type="noConversion"/>
  </si>
  <si>
    <t>Return on equity (ROE)</t>
    <phoneticPr fontId="13" type="noConversion"/>
  </si>
  <si>
    <t>Earnings per share</t>
    <phoneticPr fontId="13" type="noConversion"/>
  </si>
  <si>
    <t>Price-earnings ratio</t>
    <phoneticPr fontId="13" type="noConversion"/>
  </si>
  <si>
    <t>Dividend payout ratio</t>
    <phoneticPr fontId="13" type="noConversion"/>
  </si>
  <si>
    <t>Dividend yield ratio</t>
    <phoneticPr fontId="13" type="noConversion"/>
  </si>
  <si>
    <t>Book value per share</t>
    <phoneticPr fontId="13" type="noConversion"/>
  </si>
  <si>
    <t>CASM-ex (Cost per available seat mile excluding fuel)</t>
    <phoneticPr fontId="13" type="noConversion"/>
  </si>
  <si>
    <t>RASM (Revenue per available seat mile)</t>
    <phoneticPr fontId="13" type="noConversion"/>
  </si>
  <si>
    <t>Load factor</t>
    <phoneticPr fontId="13" type="noConversion"/>
  </si>
  <si>
    <t>Fuel price</t>
    <phoneticPr fontId="13" type="noConversion"/>
  </si>
  <si>
    <t>Working Capital ratio</t>
    <phoneticPr fontId="13" type="noConversion"/>
  </si>
  <si>
    <t>Working Capital</t>
    <phoneticPr fontId="13" type="noConversion"/>
  </si>
  <si>
    <t>BAD</t>
    <phoneticPr fontId="13" type="noConversion"/>
  </si>
  <si>
    <t>GOOD</t>
    <phoneticPr fontId="13" type="noConversion"/>
  </si>
  <si>
    <t>Industry average</t>
  </si>
  <si>
    <t>Industry average</t>
    <phoneticPr fontId="13" type="noConversion"/>
  </si>
  <si>
    <t>Industry Average</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</si>
</sst>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_);[Red]\(0.0000\)"/>
    <numFmt numFmtId="165" formatCode="0.00_);[Red]\(0.00\)"/>
    <numFmt numFmtId="166" formatCode="0.00_ "/>
    <numFmt numFmtId="167" formatCode="0.000_);[Red]\(0.000\)"/>
    <numFmt numFmtId="168" formatCode="0.000"/>
    <numFmt numFmtId="169" formatCode="0_);[Red]\(0\)"/>
    <numFmt numFmtId="170" formatCode="#,##0.00_ "/>
  </numFmts>
  <fonts count="21">
    <font>
      <sz val="11"/>
      <color rgb="FF000000"/>
      <name val="맑은 고딕"/>
    </font>
    <font>
      <sz val="9"/>
      <color rgb="FF000000"/>
      <name val="맑은 고딕"/>
      <family val="3"/>
      <charset val="129"/>
    </font>
    <font>
      <sz val="11"/>
      <color rgb="FF000000"/>
      <name val="맑은 고딕"/>
      <family val="3"/>
      <charset val="129"/>
    </font>
    <font>
      <sz val="24"/>
      <color rgb="FF000000"/>
      <name val="맑은 고딕"/>
      <family val="3"/>
      <charset val="129"/>
    </font>
    <font>
      <sz val="11"/>
      <color theme="1"/>
      <name val="Calibri"/>
      <family val="3"/>
      <charset val="129"/>
      <scheme val="minor"/>
    </font>
    <font>
      <sz val="11"/>
      <color rgb="FF000000"/>
      <name val="Calibri"/>
      <family val="3"/>
      <charset val="129"/>
      <scheme val="minor"/>
    </font>
    <font>
      <b/>
      <sz val="16"/>
      <color rgb="FF000000"/>
      <name val="HY헤드라인M"/>
      <family val="1"/>
      <charset val="129"/>
    </font>
    <font>
      <sz val="8"/>
      <color rgb="FF000000"/>
      <name val="맑은 고딕"/>
      <family val="3"/>
      <charset val="129"/>
    </font>
    <font>
      <sz val="8"/>
      <name val="맑은 고딕"/>
      <family val="2"/>
      <charset val="129"/>
    </font>
    <font>
      <sz val="11"/>
      <name val="맑은 고딕"/>
      <family val="2"/>
      <charset val="129"/>
    </font>
    <font>
      <b/>
      <sz val="11"/>
      <color theme="9" tint="-0.249977111117893"/>
      <name val="맑은 고딕"/>
      <family val="2"/>
      <charset val="129"/>
    </font>
    <font>
      <b/>
      <sz val="11"/>
      <color rgb="FFC00000"/>
      <name val="맑은 고딕"/>
      <family val="2"/>
      <charset val="129"/>
    </font>
    <font>
      <sz val="11"/>
      <color rgb="FF000000"/>
      <name val="맑은 고딕"/>
      <family val="2"/>
      <charset val="129"/>
    </font>
    <font>
      <sz val="8"/>
      <name val="나눔명조"/>
      <family val="3"/>
      <charset val="129"/>
    </font>
    <font>
      <sz val="12"/>
      <color theme="1"/>
      <name val="Helvetica"/>
      <family val="2"/>
    </font>
    <font>
      <sz val="12"/>
      <color rgb="FF000000"/>
      <name val="Helvetica"/>
      <family val="2"/>
    </font>
    <font>
      <sz val="24"/>
      <color rgb="FF000000"/>
      <name val="맑은 고딕"/>
      <family val="2"/>
      <charset val="129"/>
    </font>
    <font>
      <b/>
      <sz val="16"/>
      <color rgb="FF000000"/>
      <name val="HY헤드라인M"/>
      <charset val="129"/>
    </font>
    <font>
      <b/>
      <sz val="11"/>
      <color theme="4"/>
      <name val="맑은 고딕"/>
      <family val="2"/>
      <charset val="129"/>
    </font>
    <font>
      <b/>
      <sz val="11"/>
      <color rgb="FFFF0000"/>
      <name val="맑은 고딕"/>
      <family val="3"/>
      <charset val="129"/>
    </font>
    <font>
      <b/>
      <sz val="11"/>
      <color theme="4" tint="-0.499984740745262"/>
      <name val="맑은 고딕"/>
      <family val="2"/>
      <charset val="129"/>
    </font>
  </fonts>
  <fills count="13">
    <fill>
      <patternFill patternType="none"/>
    </fill>
    <fill>
      <patternFill patternType="gray125"/>
    </fill>
    <fill>
      <patternFill patternType="solid">
        <fgColor rgb="FFF2F2F2"/>
        <bgColor indexed="64"/>
      </patternFill>
    </fill>
    <fill>
      <patternFill patternType="solid">
        <fgColor rgb="FFFBE5D7"/>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BBEBB7"/>
        <bgColor indexed="64"/>
      </patternFill>
    </fill>
    <fill>
      <patternFill patternType="solid">
        <fgColor rgb="FFEDB2AD"/>
        <bgColor indexed="64"/>
      </patternFill>
    </fill>
    <fill>
      <patternFill patternType="solid">
        <fgColor rgb="FFFFC000"/>
        <bgColor rgb="FF000000"/>
      </patternFill>
    </fill>
    <fill>
      <patternFill patternType="solid">
        <fgColor rgb="FFFFC7CE"/>
        <bgColor indexed="64"/>
      </patternFill>
    </fill>
    <fill>
      <patternFill patternType="solid">
        <fgColor theme="4" tint="0.59999389629810485"/>
        <bgColor indexed="64"/>
      </patternFill>
    </fill>
    <fill>
      <patternFill patternType="solid">
        <fgColor rgb="FFB4C6E7"/>
        <bgColor indexed="64"/>
      </patternFill>
    </fill>
    <fill>
      <patternFill patternType="solid">
        <fgColor rgb="FFFFC7CE"/>
        <bgColor rgb="FF000000"/>
      </patternFill>
    </fill>
  </fills>
  <borders count="60">
    <border>
      <left/>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medium">
        <color auto="1"/>
      </right>
      <top/>
      <bottom style="medium">
        <color auto="1"/>
      </bottom>
      <diagonal/>
    </border>
    <border>
      <left style="thin">
        <color auto="1"/>
      </left>
      <right style="thin">
        <color indexed="64"/>
      </right>
      <top style="medium">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
      <left style="medium">
        <color auto="1"/>
      </left>
      <right/>
      <top style="medium">
        <color auto="1"/>
      </top>
      <bottom style="medium">
        <color auto="1"/>
      </bottom>
      <diagonal/>
    </border>
    <border>
      <left/>
      <right style="medium">
        <color auto="1"/>
      </right>
      <top/>
      <bottom/>
      <diagonal/>
    </border>
    <border>
      <left style="thin">
        <color auto="1"/>
      </left>
      <right style="medium">
        <color indexed="64"/>
      </right>
      <top/>
      <bottom/>
      <diagonal/>
    </border>
    <border>
      <left style="medium">
        <color indexed="64"/>
      </left>
      <right style="thin">
        <color auto="1"/>
      </right>
      <top/>
      <bottom style="thin">
        <color auto="1"/>
      </bottom>
      <diagonal/>
    </border>
    <border>
      <left/>
      <right style="medium">
        <color indexed="64"/>
      </right>
      <top style="thin">
        <color auto="1"/>
      </top>
      <bottom/>
      <diagonal/>
    </border>
    <border>
      <left style="medium">
        <color indexed="64"/>
      </left>
      <right/>
      <top style="thin">
        <color auto="1"/>
      </top>
      <bottom/>
      <diagonal/>
    </border>
    <border>
      <left style="medium">
        <color indexed="64"/>
      </left>
      <right style="thin">
        <color auto="1"/>
      </right>
      <top style="thin">
        <color auto="1"/>
      </top>
      <bottom/>
      <diagonal/>
    </border>
    <border>
      <left/>
      <right/>
      <top style="medium">
        <color auto="1"/>
      </top>
      <bottom/>
      <diagonal/>
    </border>
    <border>
      <left/>
      <right style="medium">
        <color indexed="64"/>
      </right>
      <top/>
      <bottom style="thin">
        <color auto="1"/>
      </bottom>
      <diagonal/>
    </border>
    <border>
      <left style="medium">
        <color indexed="64"/>
      </left>
      <right/>
      <top/>
      <bottom style="thin">
        <color auto="1"/>
      </bottom>
      <diagonal/>
    </border>
    <border>
      <left style="thin">
        <color auto="1"/>
      </left>
      <right style="medium">
        <color indexed="64"/>
      </right>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indexed="64"/>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indexed="64"/>
      </left>
      <right style="thin">
        <color auto="1"/>
      </right>
      <top/>
      <bottom/>
      <diagonal/>
    </border>
    <border>
      <left style="thin">
        <color auto="1"/>
      </left>
      <right style="medium">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right/>
      <top/>
      <bottom style="medium">
        <color auto="1"/>
      </bottom>
      <diagonal/>
    </border>
    <border>
      <left style="thin">
        <color indexed="64"/>
      </left>
      <right/>
      <top style="thin">
        <color auto="1"/>
      </top>
      <bottom/>
      <diagonal/>
    </border>
    <border>
      <left/>
      <right style="thin">
        <color indexed="64"/>
      </right>
      <top style="thin">
        <color auto="1"/>
      </top>
      <bottom/>
      <diagonal/>
    </border>
    <border>
      <left/>
      <right style="thin">
        <color indexed="64"/>
      </right>
      <top style="thin">
        <color indexed="64"/>
      </top>
      <bottom style="medium">
        <color indexed="64"/>
      </bottom>
      <diagonal/>
    </border>
    <border>
      <left style="medium">
        <color indexed="64"/>
      </left>
      <right/>
      <top/>
      <bottom/>
      <diagonal/>
    </border>
    <border>
      <left/>
      <right style="thin">
        <color rgb="FF000000"/>
      </right>
      <top style="medium">
        <color indexed="64"/>
      </top>
      <bottom style="medium">
        <color indexed="64"/>
      </bottom>
      <diagonal/>
    </border>
    <border>
      <left/>
      <right style="thin">
        <color auto="1"/>
      </right>
      <top style="medium">
        <color auto="1"/>
      </top>
      <bottom/>
      <diagonal/>
    </border>
    <border>
      <left/>
      <right style="thin">
        <color auto="1"/>
      </right>
      <top/>
      <bottom style="medium">
        <color indexed="64"/>
      </bottom>
      <diagonal/>
    </border>
    <border>
      <left style="thin">
        <color auto="1"/>
      </left>
      <right style="medium">
        <color indexed="64"/>
      </right>
      <top style="medium">
        <color indexed="64"/>
      </top>
      <bottom/>
      <diagonal/>
    </border>
    <border>
      <left/>
      <right style="medium">
        <color rgb="FF000000"/>
      </right>
      <top style="medium">
        <color indexed="64"/>
      </top>
      <bottom/>
      <diagonal/>
    </border>
    <border>
      <left style="medium">
        <color indexed="64"/>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style="thin">
        <color auto="1"/>
      </right>
      <top style="medium">
        <color indexed="64"/>
      </top>
      <bottom/>
      <diagonal/>
    </border>
  </borders>
  <cellStyleXfs count="2">
    <xf numFmtId="0" fontId="0" fillId="0" borderId="0">
      <alignment vertical="center"/>
    </xf>
    <xf numFmtId="0" fontId="2" fillId="0" borderId="0">
      <alignment vertical="center"/>
    </xf>
  </cellStyleXfs>
  <cellXfs count="268">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1" fillId="2" borderId="6" xfId="0" applyFont="1" applyFill="1" applyBorder="1">
      <alignment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6" xfId="0" applyFill="1" applyBorder="1" applyAlignment="1">
      <alignment horizontal="center" vertical="center"/>
    </xf>
    <xf numFmtId="164" fontId="0" fillId="0" borderId="0" xfId="0" applyNumberFormat="1" applyAlignment="1">
      <alignment horizontal="center" vertical="center"/>
    </xf>
    <xf numFmtId="0" fontId="0" fillId="2" borderId="0" xfId="0" applyFill="1" applyAlignment="1">
      <alignment horizontal="center" vertical="center"/>
    </xf>
    <xf numFmtId="0" fontId="0" fillId="2" borderId="10" xfId="0" applyFill="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2" borderId="13" xfId="0" applyFill="1" applyBorder="1" applyAlignment="1">
      <alignment horizontal="center" vertical="center"/>
    </xf>
    <xf numFmtId="165" fontId="0" fillId="0" borderId="0" xfId="0" applyNumberFormat="1" applyAlignment="1">
      <alignment horizontal="center" vertical="center"/>
    </xf>
    <xf numFmtId="165" fontId="0" fillId="0" borderId="11" xfId="0" applyNumberFormat="1" applyBorder="1" applyAlignment="1">
      <alignment horizontal="center" vertical="center"/>
    </xf>
    <xf numFmtId="165" fontId="0" fillId="0" borderId="12" xfId="0" applyNumberFormat="1" applyBorder="1" applyAlignment="1">
      <alignment horizontal="center" vertical="center"/>
    </xf>
    <xf numFmtId="166" fontId="0" fillId="0" borderId="0" xfId="0" applyNumberFormat="1" applyAlignment="1">
      <alignment horizontal="center" vertical="center"/>
    </xf>
    <xf numFmtId="166" fontId="0" fillId="0" borderId="11" xfId="0" applyNumberFormat="1" applyBorder="1" applyAlignment="1">
      <alignment horizontal="center" vertical="center"/>
    </xf>
    <xf numFmtId="166" fontId="0" fillId="0" borderId="12" xfId="0" applyNumberFormat="1" applyBorder="1" applyAlignment="1">
      <alignment horizontal="center" vertical="center"/>
    </xf>
    <xf numFmtId="0" fontId="0" fillId="2" borderId="14" xfId="0" applyFill="1" applyBorder="1" applyAlignment="1">
      <alignment horizontal="center" vertical="center"/>
    </xf>
    <xf numFmtId="166" fontId="0" fillId="0" borderId="15" xfId="0" applyNumberFormat="1" applyBorder="1" applyAlignment="1">
      <alignment horizontal="center" vertical="center"/>
    </xf>
    <xf numFmtId="166" fontId="0" fillId="0" borderId="16" xfId="0" applyNumberFormat="1" applyBorder="1" applyAlignment="1">
      <alignment horizontal="center" vertical="center"/>
    </xf>
    <xf numFmtId="166" fontId="0" fillId="0" borderId="17" xfId="0" applyNumberFormat="1" applyBorder="1" applyAlignment="1">
      <alignment horizontal="center" vertical="center"/>
    </xf>
    <xf numFmtId="0" fontId="0" fillId="2" borderId="6" xfId="0" applyFill="1" applyBorder="1">
      <alignment vertical="center"/>
    </xf>
    <xf numFmtId="0" fontId="0" fillId="2" borderId="8" xfId="0" applyFill="1" applyBorder="1">
      <alignment vertical="center"/>
    </xf>
    <xf numFmtId="164" fontId="0" fillId="0" borderId="13" xfId="0" applyNumberFormat="1" applyBorder="1" applyAlignment="1">
      <alignment horizontal="center" vertical="center"/>
    </xf>
    <xf numFmtId="164" fontId="0" fillId="0" borderId="12" xfId="0" applyNumberFormat="1" applyBorder="1" applyAlignment="1">
      <alignment horizontal="center" vertical="center"/>
    </xf>
    <xf numFmtId="164" fontId="0" fillId="0" borderId="11" xfId="0" applyNumberFormat="1" applyBorder="1" applyAlignment="1">
      <alignment horizontal="center" vertical="center"/>
    </xf>
    <xf numFmtId="164" fontId="0" fillId="0" borderId="14" xfId="0" applyNumberFormat="1" applyBorder="1" applyAlignment="1">
      <alignment horizontal="center" vertical="center"/>
    </xf>
    <xf numFmtId="164" fontId="0" fillId="0" borderId="17" xfId="0" applyNumberFormat="1" applyBorder="1" applyAlignment="1">
      <alignment horizontal="center" vertical="center"/>
    </xf>
    <xf numFmtId="164" fontId="0" fillId="0" borderId="16" xfId="0" applyNumberFormat="1" applyBorder="1" applyAlignment="1">
      <alignment horizontal="center" vertical="center"/>
    </xf>
    <xf numFmtId="164" fontId="0" fillId="0" borderId="15" xfId="0" applyNumberFormat="1" applyBorder="1" applyAlignment="1">
      <alignment horizontal="center" vertical="center"/>
    </xf>
    <xf numFmtId="167" fontId="0" fillId="0" borderId="0" xfId="0" applyNumberFormat="1" applyAlignment="1">
      <alignment horizontal="center" vertical="center"/>
    </xf>
    <xf numFmtId="0" fontId="0" fillId="2" borderId="19" xfId="0" applyFill="1" applyBorder="1" applyAlignment="1">
      <alignment horizontal="center" vertical="center"/>
    </xf>
    <xf numFmtId="167" fontId="0" fillId="2" borderId="8" xfId="0" applyNumberFormat="1" applyFill="1" applyBorder="1" applyAlignment="1">
      <alignment horizontal="center" vertical="center"/>
    </xf>
    <xf numFmtId="167" fontId="0" fillId="2" borderId="6" xfId="0" applyNumberFormat="1" applyFill="1" applyBorder="1" applyAlignment="1">
      <alignment horizontal="center" vertical="center"/>
    </xf>
    <xf numFmtId="0" fontId="2" fillId="0" borderId="0" xfId="1" applyAlignment="1">
      <alignment horizontal="center" vertical="center"/>
    </xf>
    <xf numFmtId="167" fontId="2" fillId="0" borderId="0" xfId="1" applyNumberFormat="1" applyAlignment="1">
      <alignment horizontal="center" vertical="center"/>
    </xf>
    <xf numFmtId="167" fontId="2" fillId="0" borderId="20" xfId="1" applyNumberFormat="1" applyBorder="1" applyAlignment="1">
      <alignment horizontal="center" vertical="center"/>
    </xf>
    <xf numFmtId="167" fontId="2" fillId="0" borderId="21" xfId="1" applyNumberFormat="1" applyBorder="1" applyAlignment="1">
      <alignment horizontal="center" vertical="center"/>
    </xf>
    <xf numFmtId="0" fontId="2" fillId="0" borderId="22" xfId="1" applyBorder="1" applyAlignment="1">
      <alignment horizontal="center" vertical="center"/>
    </xf>
    <xf numFmtId="167" fontId="2" fillId="0" borderId="25" xfId="1" applyNumberFormat="1" applyBorder="1" applyAlignment="1">
      <alignment horizontal="center" vertical="center"/>
    </xf>
    <xf numFmtId="164" fontId="2" fillId="0" borderId="26" xfId="1" applyNumberFormat="1" applyBorder="1" applyAlignment="1">
      <alignment horizontal="center" vertical="center"/>
    </xf>
    <xf numFmtId="0" fontId="2" fillId="0" borderId="27" xfId="1" applyBorder="1" applyAlignment="1">
      <alignment horizontal="center" vertical="center"/>
    </xf>
    <xf numFmtId="0" fontId="2" fillId="0" borderId="30" xfId="1" applyBorder="1" applyAlignment="1">
      <alignment horizontal="center" vertical="center"/>
    </xf>
    <xf numFmtId="164" fontId="2" fillId="0" borderId="34" xfId="1" applyNumberFormat="1" applyBorder="1" applyAlignment="1">
      <alignment horizontal="center" vertical="center"/>
    </xf>
    <xf numFmtId="164" fontId="2" fillId="0" borderId="38" xfId="1" applyNumberFormat="1" applyBorder="1" applyAlignment="1">
      <alignment horizontal="center" vertical="center"/>
    </xf>
    <xf numFmtId="164" fontId="2" fillId="2" borderId="41" xfId="1" applyNumberFormat="1" applyFill="1" applyBorder="1" applyAlignment="1">
      <alignment horizontal="center" vertical="center"/>
    </xf>
    <xf numFmtId="0" fontId="2" fillId="0" borderId="42" xfId="1" applyBorder="1" applyAlignment="1">
      <alignment horizontal="center" vertical="center"/>
    </xf>
    <xf numFmtId="0" fontId="2" fillId="2" borderId="43" xfId="1" applyFill="1" applyBorder="1" applyAlignment="1">
      <alignment horizontal="center" vertical="center"/>
    </xf>
    <xf numFmtId="0" fontId="2" fillId="2" borderId="44" xfId="1" applyFill="1" applyBorder="1" applyAlignment="1">
      <alignment horizontal="center" vertical="center"/>
    </xf>
    <xf numFmtId="0" fontId="2" fillId="2" borderId="45" xfId="1" applyFill="1" applyBorder="1" applyAlignment="1">
      <alignment horizontal="center" vertical="center"/>
    </xf>
    <xf numFmtId="0" fontId="0" fillId="2" borderId="18" xfId="0" applyFill="1" applyBorder="1" applyAlignment="1">
      <alignment horizontal="center" vertical="center"/>
    </xf>
    <xf numFmtId="166" fontId="0" fillId="0" borderId="14" xfId="0" applyNumberFormat="1" applyBorder="1" applyAlignment="1">
      <alignment horizontal="center" vertical="center"/>
    </xf>
    <xf numFmtId="166" fontId="0" fillId="0" borderId="13" xfId="0" applyNumberFormat="1" applyBorder="1" applyAlignment="1">
      <alignment horizontal="center" vertical="center"/>
    </xf>
    <xf numFmtId="168" fontId="0" fillId="0" borderId="12" xfId="0" applyNumberFormat="1" applyBorder="1" applyAlignment="1">
      <alignment horizontal="center" vertical="center"/>
    </xf>
    <xf numFmtId="0" fontId="0" fillId="5" borderId="19" xfId="0" applyFill="1" applyBorder="1" applyAlignment="1">
      <alignment horizontal="center" vertical="center"/>
    </xf>
    <xf numFmtId="167" fontId="0" fillId="5" borderId="8" xfId="0" applyNumberFormat="1" applyFill="1" applyBorder="1" applyAlignment="1">
      <alignment horizontal="center" vertical="center"/>
    </xf>
    <xf numFmtId="167" fontId="0" fillId="5" borderId="6" xfId="0" applyNumberFormat="1" applyFill="1" applyBorder="1" applyAlignment="1">
      <alignment horizontal="center" vertical="center"/>
    </xf>
    <xf numFmtId="169" fontId="0" fillId="0" borderId="12" xfId="0" applyNumberFormat="1" applyBorder="1" applyAlignment="1">
      <alignment horizontal="center" vertical="center"/>
    </xf>
    <xf numFmtId="169" fontId="0" fillId="0" borderId="39" xfId="0" applyNumberFormat="1" applyBorder="1" applyAlignment="1">
      <alignment horizontal="center" vertical="center"/>
    </xf>
    <xf numFmtId="169" fontId="0" fillId="0" borderId="13" xfId="0" applyNumberFormat="1" applyBorder="1" applyAlignment="1">
      <alignment horizontal="center" vertical="center"/>
    </xf>
    <xf numFmtId="169" fontId="0" fillId="0" borderId="14" xfId="0" applyNumberFormat="1" applyBorder="1" applyAlignment="1">
      <alignment horizontal="center" vertical="center"/>
    </xf>
    <xf numFmtId="164" fontId="2" fillId="2" borderId="30" xfId="1" applyNumberFormat="1" applyFill="1" applyBorder="1" applyAlignment="1">
      <alignment horizontal="center" vertical="center"/>
    </xf>
    <xf numFmtId="0" fontId="2" fillId="5" borderId="41" xfId="1" applyFill="1" applyBorder="1" applyAlignment="1">
      <alignment horizontal="center" vertical="center"/>
    </xf>
    <xf numFmtId="0" fontId="2" fillId="5" borderId="37" xfId="1" applyFill="1" applyBorder="1" applyAlignment="1">
      <alignment horizontal="center" vertical="center"/>
    </xf>
    <xf numFmtId="164" fontId="10" fillId="6" borderId="13" xfId="1" applyNumberFormat="1" applyFont="1" applyFill="1" applyBorder="1" applyAlignment="1">
      <alignment horizontal="center" vertical="center"/>
    </xf>
    <xf numFmtId="164" fontId="10" fillId="6" borderId="14" xfId="1" applyNumberFormat="1" applyFont="1" applyFill="1" applyBorder="1" applyAlignment="1">
      <alignment horizontal="center" vertical="center"/>
    </xf>
    <xf numFmtId="164" fontId="10" fillId="6" borderId="39" xfId="1" applyNumberFormat="1" applyFont="1" applyFill="1" applyBorder="1" applyAlignment="1">
      <alignment horizontal="center" vertical="center"/>
    </xf>
    <xf numFmtId="164" fontId="11" fillId="7" borderId="13" xfId="1" applyNumberFormat="1" applyFont="1" applyFill="1" applyBorder="1" applyAlignment="1">
      <alignment horizontal="center" vertical="center"/>
    </xf>
    <xf numFmtId="164" fontId="11" fillId="7" borderId="14" xfId="1" applyNumberFormat="1" applyFont="1" applyFill="1" applyBorder="1" applyAlignment="1">
      <alignment horizontal="center" vertical="center"/>
    </xf>
    <xf numFmtId="164" fontId="11" fillId="7" borderId="39" xfId="1" applyNumberFormat="1" applyFont="1" applyFill="1" applyBorder="1" applyAlignment="1">
      <alignment horizontal="center" vertical="center"/>
    </xf>
    <xf numFmtId="168" fontId="4" fillId="0" borderId="19" xfId="1" applyNumberFormat="1" applyFont="1" applyBorder="1" applyAlignment="1">
      <alignment horizontal="center" vertical="center"/>
    </xf>
    <xf numFmtId="168" fontId="4" fillId="0" borderId="40" xfId="1" applyNumberFormat="1" applyFont="1" applyBorder="1" applyAlignment="1">
      <alignment horizontal="center" vertical="center"/>
    </xf>
    <xf numFmtId="168" fontId="5" fillId="0" borderId="19" xfId="1" applyNumberFormat="1" applyFont="1" applyBorder="1" applyAlignment="1">
      <alignment horizontal="center" vertical="center"/>
    </xf>
    <xf numFmtId="168" fontId="5" fillId="0" borderId="40" xfId="1" applyNumberFormat="1" applyFont="1" applyBorder="1" applyAlignment="1">
      <alignment horizontal="center" vertical="center"/>
    </xf>
    <xf numFmtId="168" fontId="4" fillId="0" borderId="39" xfId="0" applyNumberFormat="1" applyFont="1" applyBorder="1" applyAlignment="1">
      <alignment horizontal="center" vertical="center"/>
    </xf>
    <xf numFmtId="168" fontId="4" fillId="0" borderId="39" xfId="1" applyNumberFormat="1" applyFont="1" applyBorder="1" applyAlignment="1">
      <alignment horizontal="center" vertical="center"/>
    </xf>
    <xf numFmtId="168" fontId="4" fillId="0" borderId="38" xfId="1" applyNumberFormat="1" applyFont="1" applyBorder="1" applyAlignment="1">
      <alignment horizontal="center" vertical="center"/>
    </xf>
    <xf numFmtId="168" fontId="4" fillId="0" borderId="19" xfId="0" applyNumberFormat="1" applyFont="1" applyBorder="1" applyAlignment="1">
      <alignment horizontal="center" vertical="center"/>
    </xf>
    <xf numFmtId="168" fontId="2" fillId="0" borderId="19" xfId="1" applyNumberFormat="1" applyBorder="1" applyAlignment="1">
      <alignment horizontal="center" vertical="center"/>
    </xf>
    <xf numFmtId="168" fontId="2" fillId="0" borderId="40" xfId="1" applyNumberFormat="1" applyBorder="1" applyAlignment="1">
      <alignment horizontal="center" vertical="center"/>
    </xf>
    <xf numFmtId="168" fontId="2" fillId="0" borderId="36" xfId="1" applyNumberFormat="1" applyBorder="1" applyAlignment="1">
      <alignment horizontal="center" vertical="center"/>
    </xf>
    <xf numFmtId="168" fontId="2" fillId="0" borderId="35" xfId="1" applyNumberFormat="1" applyBorder="1" applyAlignment="1">
      <alignment horizontal="center" vertical="center"/>
    </xf>
    <xf numFmtId="1" fontId="4" fillId="0" borderId="19" xfId="1" applyNumberFormat="1" applyFont="1" applyBorder="1" applyAlignment="1">
      <alignment horizontal="center" vertical="center"/>
    </xf>
    <xf numFmtId="1" fontId="4" fillId="0" borderId="40" xfId="1" applyNumberFormat="1" applyFont="1" applyBorder="1" applyAlignment="1">
      <alignment horizontal="center" vertical="center"/>
    </xf>
    <xf numFmtId="1" fontId="5" fillId="0" borderId="19" xfId="1" applyNumberFormat="1" applyFont="1" applyBorder="1" applyAlignment="1">
      <alignment horizontal="center" vertical="center"/>
    </xf>
    <xf numFmtId="1" fontId="5" fillId="0" borderId="40" xfId="1" applyNumberFormat="1" applyFont="1" applyBorder="1" applyAlignment="1">
      <alignment horizontal="center" vertical="center"/>
    </xf>
    <xf numFmtId="1" fontId="4" fillId="0" borderId="39" xfId="0" applyNumberFormat="1" applyFont="1" applyBorder="1" applyAlignment="1">
      <alignment horizontal="center" vertical="center"/>
    </xf>
    <xf numFmtId="1" fontId="4" fillId="0" borderId="39" xfId="1" applyNumberFormat="1" applyFont="1" applyBorder="1" applyAlignment="1">
      <alignment horizontal="center" vertical="center"/>
    </xf>
    <xf numFmtId="1" fontId="4" fillId="0" borderId="38" xfId="1" applyNumberFormat="1" applyFont="1" applyBorder="1" applyAlignment="1">
      <alignment horizontal="center" vertical="center"/>
    </xf>
    <xf numFmtId="1" fontId="4" fillId="0" borderId="19" xfId="0" applyNumberFormat="1" applyFont="1" applyBorder="1" applyAlignment="1">
      <alignment horizontal="center" vertical="center"/>
    </xf>
    <xf numFmtId="1" fontId="2" fillId="0" borderId="19" xfId="1" applyNumberFormat="1" applyBorder="1" applyAlignment="1">
      <alignment horizontal="center" vertical="center"/>
    </xf>
    <xf numFmtId="1" fontId="2" fillId="0" borderId="40" xfId="1" applyNumberFormat="1" applyBorder="1" applyAlignment="1">
      <alignment horizontal="center" vertical="center"/>
    </xf>
    <xf numFmtId="1" fontId="2" fillId="0" borderId="36" xfId="1" applyNumberFormat="1" applyBorder="1" applyAlignment="1">
      <alignment horizontal="center" vertical="center"/>
    </xf>
    <xf numFmtId="1" fontId="2" fillId="0" borderId="35" xfId="1" applyNumberFormat="1" applyBorder="1" applyAlignment="1">
      <alignment horizontal="center" vertical="center"/>
    </xf>
    <xf numFmtId="0" fontId="0" fillId="2" borderId="48" xfId="0" applyFill="1" applyBorder="1" applyAlignment="1">
      <alignment horizontal="center" vertical="center"/>
    </xf>
    <xf numFmtId="164" fontId="0" fillId="0" borderId="47" xfId="0" applyNumberFormat="1" applyBorder="1" applyAlignment="1">
      <alignment horizontal="center" vertical="center"/>
    </xf>
    <xf numFmtId="164" fontId="0" fillId="0" borderId="18" xfId="0" applyNumberFormat="1" applyBorder="1" applyAlignment="1">
      <alignment horizontal="center" vertical="center"/>
    </xf>
    <xf numFmtId="164" fontId="0" fillId="0" borderId="48" xfId="0" applyNumberFormat="1" applyBorder="1" applyAlignment="1">
      <alignment horizontal="center" vertical="center"/>
    </xf>
    <xf numFmtId="168" fontId="0" fillId="0" borderId="0" xfId="0" applyNumberFormat="1" applyAlignment="1">
      <alignment horizontal="center" vertical="center"/>
    </xf>
    <xf numFmtId="168" fontId="0" fillId="0" borderId="48" xfId="0" applyNumberFormat="1" applyBorder="1" applyAlignment="1">
      <alignment horizontal="center" vertical="center"/>
    </xf>
    <xf numFmtId="168" fontId="0" fillId="0" borderId="15" xfId="0" applyNumberFormat="1" applyBorder="1" applyAlignment="1">
      <alignment horizontal="center" vertical="center"/>
    </xf>
    <xf numFmtId="168" fontId="0" fillId="0" borderId="17" xfId="0" applyNumberFormat="1" applyBorder="1" applyAlignment="1">
      <alignment horizontal="center" vertical="center"/>
    </xf>
    <xf numFmtId="168" fontId="0" fillId="0" borderId="18" xfId="0" applyNumberFormat="1" applyBorder="1" applyAlignment="1">
      <alignment horizontal="center" vertical="center"/>
    </xf>
    <xf numFmtId="168" fontId="9" fillId="0" borderId="0" xfId="0" applyNumberFormat="1" applyFont="1" applyAlignment="1">
      <alignment horizontal="center" vertical="center"/>
    </xf>
    <xf numFmtId="168" fontId="0" fillId="0" borderId="11" xfId="0" applyNumberFormat="1" applyBorder="1" applyAlignment="1">
      <alignment horizontal="center" vertical="center"/>
    </xf>
    <xf numFmtId="168" fontId="2" fillId="0" borderId="26" xfId="1" applyNumberFormat="1" applyBorder="1" applyAlignment="1">
      <alignment horizontal="center" vertical="center"/>
    </xf>
    <xf numFmtId="168" fontId="2" fillId="0" borderId="0" xfId="1" applyNumberFormat="1" applyAlignment="1">
      <alignment horizontal="center" vertical="center"/>
    </xf>
    <xf numFmtId="168" fontId="2" fillId="0" borderId="25" xfId="1" applyNumberFormat="1" applyBorder="1" applyAlignment="1">
      <alignment horizontal="center" vertical="center"/>
    </xf>
    <xf numFmtId="168" fontId="2" fillId="0" borderId="34" xfId="1" applyNumberFormat="1" applyBorder="1" applyAlignment="1">
      <alignment horizontal="center" vertical="center"/>
    </xf>
    <xf numFmtId="168" fontId="2" fillId="0" borderId="15" xfId="1" applyNumberFormat="1" applyBorder="1" applyAlignment="1">
      <alignment horizontal="center" vertical="center"/>
    </xf>
    <xf numFmtId="168" fontId="2" fillId="0" borderId="32" xfId="1" applyNumberFormat="1" applyBorder="1" applyAlignment="1">
      <alignment horizontal="center" vertical="center"/>
    </xf>
    <xf numFmtId="168" fontId="2" fillId="0" borderId="38" xfId="1" applyNumberFormat="1" applyBorder="1" applyAlignment="1">
      <alignment horizontal="center" vertical="center"/>
    </xf>
    <xf numFmtId="168" fontId="2" fillId="0" borderId="18" xfId="1" applyNumberFormat="1" applyBorder="1" applyAlignment="1">
      <alignment horizontal="center" vertical="center"/>
    </xf>
    <xf numFmtId="168" fontId="2" fillId="0" borderId="28" xfId="1" applyNumberFormat="1" applyBorder="1" applyAlignment="1">
      <alignment horizontal="center" vertical="center"/>
    </xf>
    <xf numFmtId="168" fontId="2" fillId="0" borderId="21" xfId="1" applyNumberFormat="1" applyBorder="1" applyAlignment="1">
      <alignment horizontal="center" vertical="center"/>
    </xf>
    <xf numFmtId="168" fontId="2" fillId="0" borderId="20" xfId="1" applyNumberFormat="1" applyBorder="1" applyAlignment="1">
      <alignment horizontal="center" vertical="center"/>
    </xf>
    <xf numFmtId="168" fontId="2" fillId="0" borderId="33" xfId="1" applyNumberFormat="1" applyBorder="1" applyAlignment="1">
      <alignment horizontal="center" vertical="center"/>
    </xf>
    <xf numFmtId="168" fontId="2" fillId="0" borderId="29" xfId="1" applyNumberFormat="1" applyBorder="1" applyAlignment="1">
      <alignment horizontal="center" vertical="center"/>
    </xf>
    <xf numFmtId="167" fontId="0" fillId="0" borderId="48" xfId="0" applyNumberFormat="1" applyBorder="1" applyAlignment="1">
      <alignment horizontal="center" vertical="center"/>
    </xf>
    <xf numFmtId="167" fontId="0" fillId="0" borderId="12" xfId="0" applyNumberFormat="1" applyBorder="1" applyAlignment="1">
      <alignment horizontal="center" vertical="center"/>
    </xf>
    <xf numFmtId="167" fontId="0" fillId="0" borderId="16" xfId="0" applyNumberFormat="1" applyBorder="1" applyAlignment="1">
      <alignment horizontal="center" vertical="center"/>
    </xf>
    <xf numFmtId="167" fontId="0" fillId="0" borderId="15" xfId="0" applyNumberFormat="1" applyBorder="1" applyAlignment="1">
      <alignment horizontal="center" vertical="center"/>
    </xf>
    <xf numFmtId="167" fontId="0" fillId="0" borderId="17" xfId="0" applyNumberFormat="1" applyBorder="1" applyAlignment="1">
      <alignment horizontal="center" vertical="center"/>
    </xf>
    <xf numFmtId="167" fontId="0" fillId="0" borderId="18" xfId="0" applyNumberFormat="1" applyBorder="1" applyAlignment="1">
      <alignment horizontal="center" vertical="center"/>
    </xf>
    <xf numFmtId="167" fontId="9" fillId="0" borderId="0" xfId="0" applyNumberFormat="1" applyFont="1" applyAlignment="1">
      <alignment horizontal="center" vertical="center"/>
    </xf>
    <xf numFmtId="167" fontId="9" fillId="0" borderId="12" xfId="0" applyNumberFormat="1" applyFont="1" applyBorder="1" applyAlignment="1">
      <alignment horizontal="center" vertical="center"/>
    </xf>
    <xf numFmtId="167" fontId="0" fillId="0" borderId="11" xfId="0" applyNumberFormat="1" applyBorder="1" applyAlignment="1">
      <alignment horizontal="center" vertical="center"/>
    </xf>
    <xf numFmtId="167" fontId="0" fillId="0" borderId="47" xfId="0" applyNumberFormat="1" applyBorder="1" applyAlignment="1">
      <alignment horizontal="center" vertical="center"/>
    </xf>
    <xf numFmtId="164" fontId="12" fillId="0" borderId="0" xfId="0" applyNumberFormat="1" applyFont="1" applyAlignment="1">
      <alignment horizontal="center" vertical="center"/>
    </xf>
    <xf numFmtId="0" fontId="12" fillId="0" borderId="0" xfId="0" applyFont="1" applyAlignment="1">
      <alignment horizontal="center" vertical="center"/>
    </xf>
    <xf numFmtId="4" fontId="14" fillId="0" borderId="0" xfId="0" applyNumberFormat="1" applyFont="1">
      <alignment vertical="center"/>
    </xf>
    <xf numFmtId="4" fontId="0" fillId="0" borderId="0" xfId="0" applyNumberFormat="1">
      <alignment vertical="center"/>
    </xf>
    <xf numFmtId="4" fontId="0" fillId="0" borderId="12" xfId="0" applyNumberFormat="1" applyBorder="1">
      <alignment vertical="center"/>
    </xf>
    <xf numFmtId="4" fontId="14" fillId="0" borderId="12" xfId="0" applyNumberFormat="1" applyFont="1" applyBorder="1">
      <alignment vertical="center"/>
    </xf>
    <xf numFmtId="4" fontId="15" fillId="0" borderId="0" xfId="0" applyNumberFormat="1" applyFont="1">
      <alignment vertical="center"/>
    </xf>
    <xf numFmtId="4" fontId="0" fillId="0" borderId="0" xfId="0" applyNumberFormat="1" applyAlignment="1">
      <alignment horizontal="center" vertical="center"/>
    </xf>
    <xf numFmtId="170" fontId="0" fillId="0" borderId="17" xfId="0" applyNumberFormat="1" applyBorder="1" applyAlignment="1">
      <alignment horizontal="center" vertical="center"/>
    </xf>
    <xf numFmtId="170" fontId="0" fillId="0" borderId="14" xfId="0" applyNumberFormat="1" applyBorder="1" applyAlignment="1">
      <alignment horizontal="center" vertical="center"/>
    </xf>
    <xf numFmtId="170" fontId="0" fillId="0" borderId="34" xfId="0" applyNumberFormat="1" applyBorder="1" applyAlignment="1">
      <alignment horizontal="center" vertical="center"/>
    </xf>
    <xf numFmtId="170" fontId="0" fillId="0" borderId="6" xfId="0" applyNumberFormat="1" applyBorder="1" applyAlignment="1">
      <alignment horizontal="center" vertical="center"/>
    </xf>
    <xf numFmtId="170" fontId="0" fillId="0" borderId="19" xfId="0" applyNumberFormat="1" applyBorder="1" applyAlignment="1">
      <alignment horizontal="center" vertical="center"/>
    </xf>
    <xf numFmtId="170" fontId="0" fillId="0" borderId="40" xfId="0" applyNumberFormat="1" applyBorder="1" applyAlignment="1">
      <alignment horizontal="center" vertical="center"/>
    </xf>
    <xf numFmtId="170" fontId="0" fillId="0" borderId="49" xfId="0" applyNumberFormat="1" applyBorder="1" applyAlignment="1">
      <alignment horizontal="center" vertical="center"/>
    </xf>
    <xf numFmtId="170" fontId="0" fillId="0" borderId="36" xfId="0" applyNumberFormat="1" applyBorder="1" applyAlignment="1">
      <alignment horizontal="center" vertical="center"/>
    </xf>
    <xf numFmtId="170" fontId="0" fillId="0" borderId="35" xfId="0" applyNumberFormat="1" applyBorder="1" applyAlignment="1">
      <alignment horizontal="center" vertical="center"/>
    </xf>
    <xf numFmtId="167" fontId="0" fillId="0" borderId="0" xfId="0" applyNumberFormat="1">
      <alignment vertical="center"/>
    </xf>
    <xf numFmtId="167" fontId="0" fillId="0" borderId="1" xfId="0" applyNumberFormat="1" applyBorder="1">
      <alignment vertical="center"/>
    </xf>
    <xf numFmtId="167" fontId="0" fillId="0" borderId="31" xfId="0" applyNumberFormat="1" applyBorder="1">
      <alignment vertical="center"/>
    </xf>
    <xf numFmtId="167" fontId="0" fillId="0" borderId="2" xfId="0" applyNumberFormat="1" applyBorder="1">
      <alignment vertical="center"/>
    </xf>
    <xf numFmtId="167" fontId="0" fillId="0" borderId="50" xfId="0" applyNumberFormat="1" applyBorder="1">
      <alignment vertical="center"/>
    </xf>
    <xf numFmtId="167" fontId="0" fillId="0" borderId="25" xfId="0" applyNumberFormat="1" applyBorder="1">
      <alignment vertical="center"/>
    </xf>
    <xf numFmtId="167" fontId="2" fillId="0" borderId="46" xfId="1" applyNumberFormat="1" applyBorder="1" applyAlignment="1">
      <alignment horizontal="center" vertical="center"/>
    </xf>
    <xf numFmtId="167" fontId="2" fillId="0" borderId="4" xfId="1" applyNumberFormat="1" applyBorder="1" applyAlignment="1">
      <alignment horizontal="center" vertical="center"/>
    </xf>
    <xf numFmtId="0" fontId="12" fillId="0" borderId="20" xfId="0" applyFont="1" applyBorder="1" applyAlignment="1">
      <alignment horizontal="center" vertical="center"/>
    </xf>
    <xf numFmtId="167" fontId="12" fillId="0" borderId="21" xfId="0" applyNumberFormat="1" applyFont="1" applyBorder="1" applyAlignment="1">
      <alignment horizontal="center" vertical="center"/>
    </xf>
    <xf numFmtId="167" fontId="12" fillId="0" borderId="20" xfId="0" applyNumberFormat="1" applyFont="1" applyBorder="1" applyAlignment="1">
      <alignment horizontal="center" vertical="center"/>
    </xf>
    <xf numFmtId="164" fontId="12" fillId="0" borderId="25" xfId="0" applyNumberFormat="1" applyFont="1" applyBorder="1" applyAlignment="1">
      <alignment horizontal="center" vertical="center"/>
    </xf>
    <xf numFmtId="167" fontId="12" fillId="0" borderId="25" xfId="0" applyNumberFormat="1" applyFont="1" applyBorder="1">
      <alignment vertical="center"/>
    </xf>
    <xf numFmtId="164" fontId="12" fillId="0" borderId="32" xfId="0" applyNumberFormat="1" applyFont="1" applyBorder="1" applyAlignment="1">
      <alignment horizontal="center" vertical="center"/>
    </xf>
    <xf numFmtId="167" fontId="12" fillId="0" borderId="0" xfId="0" applyNumberFormat="1" applyFont="1">
      <alignment vertical="center"/>
    </xf>
    <xf numFmtId="167" fontId="12" fillId="0" borderId="24" xfId="0" applyNumberFormat="1" applyFont="1" applyBorder="1" applyAlignment="1">
      <alignment horizontal="center" vertical="center"/>
    </xf>
    <xf numFmtId="0" fontId="2" fillId="0" borderId="50" xfId="1" applyBorder="1" applyAlignment="1">
      <alignment horizontal="center" vertical="center"/>
    </xf>
    <xf numFmtId="0" fontId="2" fillId="0" borderId="33" xfId="1" applyBorder="1" applyAlignment="1">
      <alignment horizontal="center" vertical="center"/>
    </xf>
    <xf numFmtId="0" fontId="2" fillId="0" borderId="29" xfId="1" applyBorder="1" applyAlignment="1">
      <alignment horizontal="center" vertical="center"/>
    </xf>
    <xf numFmtId="164" fontId="2" fillId="0" borderId="25" xfId="1" applyNumberFormat="1" applyBorder="1" applyAlignment="1">
      <alignment horizontal="center" vertical="center"/>
    </xf>
    <xf numFmtId="164" fontId="2" fillId="0" borderId="32" xfId="1" applyNumberFormat="1" applyBorder="1" applyAlignment="1">
      <alignment horizontal="center" vertical="center"/>
    </xf>
    <xf numFmtId="164" fontId="2" fillId="0" borderId="28" xfId="1" applyNumberFormat="1" applyBorder="1" applyAlignment="1">
      <alignment horizontal="center" vertical="center"/>
    </xf>
    <xf numFmtId="0" fontId="2" fillId="0" borderId="20" xfId="1" applyBorder="1" applyAlignment="1">
      <alignment horizontal="center" vertical="center"/>
    </xf>
    <xf numFmtId="10" fontId="0" fillId="0" borderId="17" xfId="0" applyNumberFormat="1" applyBorder="1" applyAlignment="1">
      <alignment horizontal="center" vertical="center"/>
    </xf>
    <xf numFmtId="10" fontId="0" fillId="0" borderId="14" xfId="0" applyNumberFormat="1" applyBorder="1" applyAlignment="1">
      <alignment horizontal="center" vertical="center"/>
    </xf>
    <xf numFmtId="10" fontId="0" fillId="0" borderId="34" xfId="0" applyNumberFormat="1" applyBorder="1" applyAlignment="1">
      <alignment horizontal="center" vertical="center"/>
    </xf>
    <xf numFmtId="10" fontId="0" fillId="0" borderId="6" xfId="0" applyNumberFormat="1" applyBorder="1" applyAlignment="1">
      <alignment horizontal="center" vertical="center"/>
    </xf>
    <xf numFmtId="10" fontId="0" fillId="0" borderId="19" xfId="0" applyNumberFormat="1" applyBorder="1" applyAlignment="1">
      <alignment horizontal="center" vertical="center"/>
    </xf>
    <xf numFmtId="10" fontId="0" fillId="0" borderId="40" xfId="0" applyNumberFormat="1" applyBorder="1" applyAlignment="1">
      <alignment horizontal="center" vertical="center"/>
    </xf>
    <xf numFmtId="10" fontId="0" fillId="0" borderId="49" xfId="0" applyNumberFormat="1" applyBorder="1" applyAlignment="1">
      <alignment horizontal="center" vertical="center"/>
    </xf>
    <xf numFmtId="10" fontId="0" fillId="0" borderId="36" xfId="0" applyNumberFormat="1" applyBorder="1" applyAlignment="1">
      <alignment horizontal="center" vertical="center"/>
    </xf>
    <xf numFmtId="10" fontId="0" fillId="0" borderId="35" xfId="0" applyNumberFormat="1" applyBorder="1" applyAlignment="1">
      <alignment horizontal="center" vertical="center"/>
    </xf>
    <xf numFmtId="0" fontId="6" fillId="0" borderId="0" xfId="1" applyFont="1" applyAlignment="1">
      <alignment horizontal="center" vertical="center" wrapText="1" shrinkToFit="1"/>
    </xf>
    <xf numFmtId="167" fontId="2" fillId="0" borderId="31" xfId="1" applyNumberFormat="1" applyBorder="1" applyAlignment="1">
      <alignment horizontal="center" vertical="center"/>
    </xf>
    <xf numFmtId="167" fontId="2" fillId="0" borderId="2" xfId="1" applyNumberFormat="1" applyBorder="1" applyAlignment="1">
      <alignment horizontal="center" vertical="center"/>
    </xf>
    <xf numFmtId="0" fontId="2" fillId="0" borderId="1" xfId="1" applyBorder="1" applyAlignment="1">
      <alignment horizontal="center" vertical="center"/>
    </xf>
    <xf numFmtId="0" fontId="2" fillId="0" borderId="31" xfId="1" applyBorder="1" applyAlignment="1">
      <alignment horizontal="center" vertical="center"/>
    </xf>
    <xf numFmtId="167" fontId="12" fillId="0" borderId="0" xfId="0" applyNumberFormat="1" applyFont="1" applyAlignment="1">
      <alignment horizontal="center" vertical="center"/>
    </xf>
    <xf numFmtId="0" fontId="2" fillId="0" borderId="59" xfId="1" applyBorder="1" applyAlignment="1">
      <alignment horizontal="center" vertical="center"/>
    </xf>
    <xf numFmtId="164" fontId="2" fillId="0" borderId="54" xfId="1" applyNumberFormat="1" applyBorder="1" applyAlignment="1">
      <alignment horizontal="center" vertical="center"/>
    </xf>
    <xf numFmtId="164" fontId="12" fillId="0" borderId="2" xfId="0" applyNumberFormat="1" applyFont="1" applyBorder="1" applyAlignment="1">
      <alignment horizontal="center" vertical="center"/>
    </xf>
    <xf numFmtId="0" fontId="19" fillId="7" borderId="0" xfId="1" applyFont="1" applyFill="1" applyAlignment="1">
      <alignment horizontal="center" vertical="center"/>
    </xf>
    <xf numFmtId="0" fontId="18" fillId="10" borderId="0" xfId="1" applyFont="1" applyFill="1" applyAlignment="1">
      <alignment horizontal="center" vertical="center"/>
    </xf>
    <xf numFmtId="164" fontId="11" fillId="9" borderId="13" xfId="1" applyNumberFormat="1" applyFont="1" applyFill="1" applyBorder="1" applyAlignment="1">
      <alignment horizontal="center" vertical="center"/>
    </xf>
    <xf numFmtId="164" fontId="11" fillId="9" borderId="14" xfId="1" applyNumberFormat="1" applyFont="1" applyFill="1" applyBorder="1" applyAlignment="1">
      <alignment horizontal="center" vertical="center"/>
    </xf>
    <xf numFmtId="164" fontId="11" fillId="9" borderId="39" xfId="1" applyNumberFormat="1" applyFont="1" applyFill="1" applyBorder="1" applyAlignment="1">
      <alignment horizontal="center" vertical="center"/>
    </xf>
    <xf numFmtId="164" fontId="18" fillId="11" borderId="13" xfId="1" applyNumberFormat="1" applyFont="1" applyFill="1" applyBorder="1" applyAlignment="1">
      <alignment horizontal="center" vertical="center"/>
    </xf>
    <xf numFmtId="164" fontId="18" fillId="11" borderId="14" xfId="1" applyNumberFormat="1" applyFont="1" applyFill="1" applyBorder="1" applyAlignment="1">
      <alignment horizontal="center" vertical="center"/>
    </xf>
    <xf numFmtId="164" fontId="18" fillId="11" borderId="39" xfId="1" applyNumberFormat="1" applyFont="1" applyFill="1" applyBorder="1" applyAlignment="1">
      <alignment horizontal="center" vertical="center"/>
    </xf>
    <xf numFmtId="164" fontId="11" fillId="12" borderId="14" xfId="0" applyNumberFormat="1" applyFont="1" applyFill="1" applyBorder="1" applyAlignment="1">
      <alignment horizontal="center" vertical="center"/>
    </xf>
    <xf numFmtId="164" fontId="20" fillId="11" borderId="13" xfId="1" applyNumberFormat="1" applyFont="1" applyFill="1" applyBorder="1" applyAlignment="1">
      <alignment horizontal="center" vertical="center"/>
    </xf>
    <xf numFmtId="164" fontId="20" fillId="11" borderId="14" xfId="1" applyNumberFormat="1" applyFont="1" applyFill="1" applyBorder="1" applyAlignment="1">
      <alignment horizontal="center" vertical="center"/>
    </xf>
    <xf numFmtId="164" fontId="20" fillId="11" borderId="39" xfId="1" applyNumberFormat="1" applyFont="1" applyFill="1" applyBorder="1" applyAlignment="1">
      <alignment horizontal="center" vertical="center"/>
    </xf>
    <xf numFmtId="164" fontId="20" fillId="11" borderId="10" xfId="1" applyNumberFormat="1" applyFont="1" applyFill="1" applyBorder="1" applyAlignment="1">
      <alignment horizontal="center" vertical="center"/>
    </xf>
    <xf numFmtId="20" fontId="2" fillId="0" borderId="27" xfId="1" applyNumberFormat="1" applyBorder="1" applyAlignment="1">
      <alignment horizontal="center" vertical="center"/>
    </xf>
    <xf numFmtId="0" fontId="12" fillId="0" borderId="24" xfId="0" applyFont="1" applyBorder="1" applyAlignment="1">
      <alignment horizontal="center" vertical="center"/>
    </xf>
    <xf numFmtId="0" fontId="12" fillId="0" borderId="51" xfId="0" applyFont="1" applyBorder="1" applyAlignment="1">
      <alignment horizontal="center" vertical="center"/>
    </xf>
    <xf numFmtId="164" fontId="16" fillId="0" borderId="24" xfId="0" applyNumberFormat="1" applyFont="1" applyBorder="1" applyAlignment="1">
      <alignment horizontal="center" vertical="center"/>
    </xf>
    <xf numFmtId="164" fontId="16" fillId="0" borderId="51" xfId="0" applyNumberFormat="1" applyFont="1" applyBorder="1" applyAlignment="1">
      <alignment horizontal="center" vertical="center"/>
    </xf>
    <xf numFmtId="0" fontId="12" fillId="0" borderId="1" xfId="0" applyFont="1" applyBorder="1" applyAlignment="1">
      <alignment horizontal="center" vertical="center"/>
    </xf>
    <xf numFmtId="0" fontId="12" fillId="0" borderId="52" xfId="0" applyFont="1" applyBorder="1" applyAlignment="1">
      <alignment horizontal="center" vertical="center"/>
    </xf>
    <xf numFmtId="0" fontId="12" fillId="0" borderId="33" xfId="0" applyFont="1" applyBorder="1" applyAlignment="1">
      <alignment horizontal="center" vertical="center"/>
    </xf>
    <xf numFmtId="0" fontId="12" fillId="0" borderId="17" xfId="0" applyFont="1" applyBorder="1" applyAlignment="1">
      <alignment horizontal="center" vertical="center"/>
    </xf>
    <xf numFmtId="0" fontId="12" fillId="0" borderId="29" xfId="0" applyFont="1" applyBorder="1" applyAlignment="1">
      <alignment horizontal="center" vertical="center"/>
    </xf>
    <xf numFmtId="0" fontId="12" fillId="0" borderId="48" xfId="0" applyFont="1" applyBorder="1" applyAlignment="1">
      <alignment horizontal="center" vertical="center"/>
    </xf>
    <xf numFmtId="0" fontId="12" fillId="0" borderId="3" xfId="0" applyFont="1" applyBorder="1" applyAlignment="1">
      <alignment horizontal="center" vertical="center"/>
    </xf>
    <xf numFmtId="0" fontId="12" fillId="0" borderId="53" xfId="0" applyFont="1" applyBorder="1" applyAlignment="1">
      <alignment horizontal="center" vertical="center"/>
    </xf>
    <xf numFmtId="164" fontId="16" fillId="0" borderId="24" xfId="0" applyNumberFormat="1" applyFont="1" applyBorder="1" applyAlignment="1">
      <alignment horizontal="center" vertical="center" shrinkToFit="1"/>
    </xf>
    <xf numFmtId="164" fontId="16" fillId="0" borderId="51" xfId="0" applyNumberFormat="1" applyFont="1" applyBorder="1" applyAlignment="1">
      <alignment horizontal="center" vertical="center" shrinkToFit="1"/>
    </xf>
    <xf numFmtId="0" fontId="2" fillId="0" borderId="24" xfId="1" applyBorder="1" applyAlignment="1">
      <alignment horizontal="center" vertical="center"/>
    </xf>
    <xf numFmtId="0" fontId="2" fillId="0" borderId="23" xfId="1" applyBorder="1" applyAlignment="1">
      <alignment horizontal="center" vertical="center"/>
    </xf>
    <xf numFmtId="0" fontId="7" fillId="0" borderId="0" xfId="1" applyFont="1" applyAlignment="1">
      <alignment horizontal="center" vertical="center" wrapText="1"/>
    </xf>
    <xf numFmtId="0" fontId="7" fillId="0" borderId="0" xfId="1" applyFont="1" applyAlignment="1">
      <alignment horizontal="center" vertical="center"/>
    </xf>
    <xf numFmtId="0" fontId="6" fillId="4" borderId="1" xfId="1" applyFont="1" applyFill="1" applyBorder="1" applyAlignment="1">
      <alignment horizontal="center" vertical="center" shrinkToFit="1"/>
    </xf>
    <xf numFmtId="0" fontId="6" fillId="4" borderId="31" xfId="1" applyFont="1" applyFill="1" applyBorder="1" applyAlignment="1">
      <alignment horizontal="center" vertical="center" shrinkToFit="1"/>
    </xf>
    <xf numFmtId="0" fontId="6" fillId="4" borderId="2" xfId="1" applyFont="1" applyFill="1" applyBorder="1" applyAlignment="1">
      <alignment horizontal="center" vertical="center" shrinkToFit="1"/>
    </xf>
    <xf numFmtId="0" fontId="6" fillId="4" borderId="3" xfId="1" applyFont="1" applyFill="1" applyBorder="1" applyAlignment="1">
      <alignment horizontal="center" vertical="center" shrinkToFit="1"/>
    </xf>
    <xf numFmtId="0" fontId="6" fillId="4" borderId="46" xfId="1" applyFont="1" applyFill="1" applyBorder="1" applyAlignment="1">
      <alignment horizontal="center" vertical="center" shrinkToFit="1"/>
    </xf>
    <xf numFmtId="0" fontId="6" fillId="4" borderId="4" xfId="1" applyFont="1" applyFill="1" applyBorder="1" applyAlignment="1">
      <alignment horizontal="center" vertical="center" shrinkToFit="1"/>
    </xf>
    <xf numFmtId="0" fontId="3" fillId="0" borderId="24" xfId="1" applyFont="1" applyBorder="1" applyAlignment="1">
      <alignment horizontal="center" vertical="center"/>
    </xf>
    <xf numFmtId="0" fontId="3" fillId="0" borderId="23" xfId="1" applyFont="1" applyBorder="1" applyAlignment="1">
      <alignment horizontal="center" vertical="center"/>
    </xf>
    <xf numFmtId="164" fontId="3" fillId="0" borderId="24" xfId="1" applyNumberFormat="1" applyFont="1" applyBorder="1" applyAlignment="1">
      <alignment horizontal="center" vertical="center"/>
    </xf>
    <xf numFmtId="164" fontId="3" fillId="0" borderId="23" xfId="1" applyNumberFormat="1" applyFont="1" applyBorder="1" applyAlignment="1">
      <alignment horizontal="center" vertical="center"/>
    </xf>
    <xf numFmtId="0" fontId="12" fillId="0" borderId="0" xfId="0" applyFont="1" applyAlignment="1">
      <alignment horizontal="center" vertical="center"/>
    </xf>
    <xf numFmtId="164" fontId="16" fillId="0" borderId="0" xfId="0" applyNumberFormat="1" applyFont="1" applyAlignment="1">
      <alignment horizontal="center" vertical="center"/>
    </xf>
    <xf numFmtId="164" fontId="2" fillId="3" borderId="5" xfId="0" applyNumberFormat="1" applyFont="1" applyFill="1" applyBorder="1" applyAlignment="1">
      <alignment horizontal="center" vertical="center" wrapText="1"/>
    </xf>
    <xf numFmtId="164" fontId="0" fillId="3" borderId="3" xfId="0" applyNumberFormat="1" applyFill="1" applyBorder="1" applyAlignment="1">
      <alignment horizontal="center" vertical="center"/>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xf>
    <xf numFmtId="0" fontId="0" fillId="2" borderId="9" xfId="0" applyFill="1" applyBorder="1" applyAlignment="1">
      <alignment horizontal="center" vertical="center"/>
    </xf>
    <xf numFmtId="0" fontId="6" fillId="4" borderId="1" xfId="1" applyFont="1" applyFill="1" applyBorder="1" applyAlignment="1">
      <alignment horizontal="center" vertical="center"/>
    </xf>
    <xf numFmtId="0" fontId="6" fillId="4" borderId="31" xfId="1" applyFont="1" applyFill="1" applyBorder="1" applyAlignment="1">
      <alignment horizontal="center" vertical="center"/>
    </xf>
    <xf numFmtId="0" fontId="6" fillId="4" borderId="2" xfId="1" applyFont="1" applyFill="1" applyBorder="1" applyAlignment="1">
      <alignment horizontal="center" vertical="center"/>
    </xf>
    <xf numFmtId="0" fontId="6" fillId="4" borderId="3" xfId="1" applyFont="1" applyFill="1" applyBorder="1" applyAlignment="1">
      <alignment horizontal="center" vertical="center"/>
    </xf>
    <xf numFmtId="0" fontId="6" fillId="4" borderId="46" xfId="1" applyFont="1" applyFill="1" applyBorder="1" applyAlignment="1">
      <alignment horizontal="center" vertical="center"/>
    </xf>
    <xf numFmtId="0" fontId="6" fillId="4" borderId="4" xfId="1" applyFont="1" applyFill="1" applyBorder="1" applyAlignment="1">
      <alignment horizontal="center" vertical="center"/>
    </xf>
    <xf numFmtId="0" fontId="17" fillId="8" borderId="1" xfId="0" applyFont="1" applyFill="1" applyBorder="1" applyAlignment="1">
      <alignment horizontal="center" vertical="center"/>
    </xf>
    <xf numFmtId="0" fontId="17" fillId="8" borderId="31" xfId="0" applyFont="1" applyFill="1" applyBorder="1" applyAlignment="1">
      <alignment horizontal="center" vertical="center"/>
    </xf>
    <xf numFmtId="0" fontId="17" fillId="8" borderId="55" xfId="0" applyFont="1" applyFill="1" applyBorder="1" applyAlignment="1">
      <alignment horizontal="center" vertical="center"/>
    </xf>
    <xf numFmtId="0" fontId="17" fillId="8" borderId="56" xfId="0" applyFont="1" applyFill="1" applyBorder="1" applyAlignment="1">
      <alignment horizontal="center" vertical="center"/>
    </xf>
    <xf numFmtId="0" fontId="17" fillId="8" borderId="57" xfId="0" applyFont="1" applyFill="1" applyBorder="1" applyAlignment="1">
      <alignment horizontal="center" vertical="center"/>
    </xf>
    <xf numFmtId="0" fontId="17" fillId="8" borderId="58" xfId="0" applyFont="1" applyFill="1" applyBorder="1" applyAlignment="1">
      <alignment horizontal="center" vertical="center"/>
    </xf>
    <xf numFmtId="0" fontId="3" fillId="0" borderId="52" xfId="1" applyFont="1" applyBorder="1" applyAlignment="1">
      <alignment horizontal="center" vertical="center"/>
    </xf>
    <xf numFmtId="0" fontId="2" fillId="0" borderId="20" xfId="1" applyBorder="1" applyAlignment="1">
      <alignment horizontal="center" vertical="center"/>
    </xf>
    <xf numFmtId="164" fontId="3" fillId="0" borderId="52" xfId="1" applyNumberFormat="1" applyFont="1" applyBorder="1" applyAlignment="1">
      <alignment horizontal="center" vertical="center"/>
    </xf>
    <xf numFmtId="0" fontId="6" fillId="4" borderId="1" xfId="1" applyFont="1" applyFill="1" applyBorder="1" applyAlignment="1">
      <alignment horizontal="center" vertical="center" wrapText="1" shrinkToFit="1"/>
    </xf>
    <xf numFmtId="0" fontId="6" fillId="4" borderId="31" xfId="1" applyFont="1" applyFill="1" applyBorder="1" applyAlignment="1">
      <alignment horizontal="center" vertical="center" wrapText="1" shrinkToFit="1"/>
    </xf>
    <xf numFmtId="0" fontId="6" fillId="4" borderId="2" xfId="1" applyFont="1" applyFill="1" applyBorder="1" applyAlignment="1">
      <alignment horizontal="center" vertical="center" wrapText="1" shrinkToFit="1"/>
    </xf>
    <xf numFmtId="0" fontId="6" fillId="4" borderId="3" xfId="1" applyFont="1" applyFill="1" applyBorder="1" applyAlignment="1">
      <alignment horizontal="center" vertical="center" wrapText="1" shrinkToFit="1"/>
    </xf>
    <xf numFmtId="0" fontId="6" fillId="4" borderId="46" xfId="1" applyFont="1" applyFill="1" applyBorder="1" applyAlignment="1">
      <alignment horizontal="center" vertical="center" wrapText="1" shrinkToFit="1"/>
    </xf>
    <xf numFmtId="0" fontId="6" fillId="4" borderId="4" xfId="1" applyFont="1" applyFill="1" applyBorder="1" applyAlignment="1">
      <alignment horizontal="center" vertical="center" wrapText="1" shrinkToFit="1"/>
    </xf>
    <xf numFmtId="0" fontId="6" fillId="4" borderId="1" xfId="1" applyFont="1" applyFill="1" applyBorder="1" applyAlignment="1">
      <alignment horizontal="center" vertical="center" wrapText="1"/>
    </xf>
    <xf numFmtId="0" fontId="6" fillId="4" borderId="31" xfId="1" applyFont="1" applyFill="1" applyBorder="1" applyAlignment="1">
      <alignment horizontal="center" vertical="center" wrapText="1"/>
    </xf>
    <xf numFmtId="0" fontId="6" fillId="4" borderId="2" xfId="1" applyFont="1" applyFill="1" applyBorder="1" applyAlignment="1">
      <alignment horizontal="center" vertical="center" wrapText="1"/>
    </xf>
    <xf numFmtId="0" fontId="6" fillId="4" borderId="3" xfId="1" applyFont="1" applyFill="1" applyBorder="1" applyAlignment="1">
      <alignment horizontal="center" vertical="center" wrapText="1"/>
    </xf>
    <xf numFmtId="0" fontId="6" fillId="4" borderId="46" xfId="1" applyFont="1" applyFill="1" applyBorder="1" applyAlignment="1">
      <alignment horizontal="center" vertical="center" wrapText="1"/>
    </xf>
    <xf numFmtId="0" fontId="6" fillId="4" borderId="4" xfId="1" applyFont="1" applyFill="1" applyBorder="1" applyAlignment="1">
      <alignment horizontal="center" vertical="center" wrapText="1"/>
    </xf>
    <xf numFmtId="0" fontId="6" fillId="4" borderId="0" xfId="1" applyFont="1" applyFill="1" applyAlignment="1">
      <alignment horizontal="center" vertical="center" wrapText="1" shrinkToFit="1"/>
    </xf>
  </cellXfs>
  <cellStyles count="2">
    <cellStyle name="Normal" xfId="0" builtinId="0"/>
    <cellStyle name="표준 2" xfId="1" xr:uid="{A3C364D9-09AC-49DD-9AE6-FE1853FC5382}"/>
  </cellStyles>
  <dxfs count="204">
    <dxf>
      <font>
        <b/>
        <i val="0"/>
        <color theme="4"/>
      </font>
      <fill>
        <patternFill>
          <bgColor theme="4" tint="0.59996337778862885"/>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font>
      <fill>
        <patternFill>
          <bgColor theme="4" tint="0.59996337778862885"/>
        </patternFill>
      </fill>
    </dxf>
    <dxf>
      <font>
        <b/>
        <i val="0"/>
        <color theme="4"/>
      </font>
      <fill>
        <patternFill>
          <bgColor theme="4" tint="0.59996337778862885"/>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font>
      <fill>
        <patternFill>
          <bgColor rgb="FFB4C6E7"/>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tint="-0.499984740745262"/>
      </font>
      <fill>
        <patternFill>
          <bgColor theme="4"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color rgb="FF9C0006"/>
      </font>
      <fill>
        <patternFill>
          <bgColor rgb="FFFFC7CE"/>
        </patternFill>
      </fill>
    </dxf>
    <dxf>
      <font>
        <b/>
        <i val="0"/>
        <color theme="4"/>
      </font>
      <fill>
        <patternFill>
          <bgColor theme="4" tint="0.59996337778862885"/>
        </patternFill>
      </fill>
    </dxf>
    <dxf>
      <font>
        <color rgb="FF9C0006"/>
      </font>
      <fill>
        <patternFill>
          <bgColor rgb="FFFFC7CE"/>
        </patternFill>
      </fill>
    </dxf>
    <dxf>
      <font>
        <b/>
        <i val="0"/>
        <color theme="4"/>
      </font>
      <fill>
        <patternFill>
          <bgColor theme="4" tint="0.59996337778862885"/>
        </patternFill>
      </fill>
    </dxf>
  </dxfs>
  <tableStyles count="0" defaultTableStyle="TableStyleMedium2" defaultPivotStyle="PivotStyleLight16"/>
  <colors>
    <mruColors>
      <color rgb="FFB4C6E7"/>
      <color rgb="FFFFC7CE"/>
      <color rgb="FFEDB2AD"/>
      <color rgb="FF548235"/>
      <color rgb="FFAFE7AB"/>
      <color rgb="FFBBEB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Working Capital</a:t>
            </a:r>
            <a:r>
              <a:rPr lang="ko-KR" altLang="ko-KR" sz="3000">
                <a:effectLst/>
              </a:rPr>
              <a:t> </a:t>
            </a:r>
          </a:p>
        </c:rich>
      </c:tx>
      <c:overlay val="0"/>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3"/>
          <c:order val="0"/>
          <c:tx>
            <c:strRef>
              <c:f>'Working Capital'!$J$2:$K$2</c:f>
              <c:strCache>
                <c:ptCount val="2"/>
                <c:pt idx="0">
                  <c:v>GOOD</c:v>
                </c:pt>
              </c:strCache>
            </c:strRef>
          </c:tx>
          <c:spPr>
            <a:ln w="28575" cap="rnd" cmpd="sng">
              <a:solidFill>
                <a:srgbClr val="FF0000"/>
              </a:solidFill>
              <a:round/>
            </a:ln>
            <a:effectLst/>
          </c:spPr>
          <c:marker>
            <c:symbol val="none"/>
          </c:marker>
          <c:cat>
            <c:strRef>
              <c:f>'Working Capital'!$L$2:$AJ$2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Capital'!$L$11:$AJ$11</c:f>
              <c:numCache>
                <c:formatCode>0.000_);[Red]\(0.000\)</c:formatCode>
                <c:ptCount val="25"/>
                <c:pt idx="0" formatCode="General">
                  <c:v>0</c:v>
                </c:pt>
                <c:pt idx="1">
                  <c:v>-4.9158872598074221E-2</c:v>
                </c:pt>
                <c:pt idx="2">
                  <c:v>-2.9148870203885804E-2</c:v>
                </c:pt>
                <c:pt idx="3">
                  <c:v>-4.426056522516561E-2</c:v>
                </c:pt>
                <c:pt idx="4">
                  <c:v>-4.517648074398628E-2</c:v>
                </c:pt>
                <c:pt idx="5">
                  <c:v>-7.567783058502732E-2</c:v>
                </c:pt>
                <c:pt idx="6">
                  <c:v>-0.1224375355559682</c:v>
                </c:pt>
                <c:pt idx="7">
                  <c:v>-0.10493665862057178</c:v>
                </c:pt>
                <c:pt idx="8">
                  <c:v>2.4048492400707416E-3</c:v>
                </c:pt>
                <c:pt idx="9">
                  <c:v>4.9354922393565204E-2</c:v>
                </c:pt>
                <c:pt idx="10">
                  <c:v>0.10269561332949613</c:v>
                </c:pt>
                <c:pt idx="11">
                  <c:v>0.11780042212081512</c:v>
                </c:pt>
                <c:pt idx="12">
                  <c:v>-2.7464707844265343E-2</c:v>
                </c:pt>
                <c:pt idx="13">
                  <c:v>-0.11403344274192402</c:v>
                </c:pt>
                <c:pt idx="14">
                  <c:v>-5.8261375655969255E-3</c:v>
                </c:pt>
                <c:pt idx="15">
                  <c:v>-0.11105564135326873</c:v>
                </c:pt>
                <c:pt idx="16">
                  <c:v>-0.13218070181278566</c:v>
                </c:pt>
                <c:pt idx="17">
                  <c:v>-0.13723980933690516</c:v>
                </c:pt>
                <c:pt idx="18">
                  <c:v>-0.16288977667924723</c:v>
                </c:pt>
                <c:pt idx="19">
                  <c:v>-0.18724454737018847</c:v>
                </c:pt>
                <c:pt idx="20">
                  <c:v>-6.0236540923393311E-2</c:v>
                </c:pt>
                <c:pt idx="21">
                  <c:v>4.8003867478021656E-2</c:v>
                </c:pt>
                <c:pt idx="22">
                  <c:v>9.9360183399994306E-2</c:v>
                </c:pt>
                <c:pt idx="23">
                  <c:v>0.11885022760547338</c:v>
                </c:pt>
                <c:pt idx="24">
                  <c:v>-3.6111121249854015E-2</c:v>
                </c:pt>
              </c:numCache>
            </c:numRef>
          </c:val>
          <c:smooth val="0"/>
          <c:extLst>
            <c:ext xmlns:c16="http://schemas.microsoft.com/office/drawing/2014/chart" uri="{C3380CC4-5D6E-409C-BE32-E72D297353CC}">
              <c16:uniqueId val="{00000000-258F-8A4D-9A89-00E9BA351586}"/>
            </c:ext>
          </c:extLst>
        </c:ser>
        <c:ser>
          <c:idx val="4"/>
          <c:order val="1"/>
          <c:tx>
            <c:strRef>
              <c:f>'Working Capital'!$J$15:$K$15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'Working Capital'!$L$2:$AJ$2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Capital'!$L$24:$AJ$24</c:f>
              <c:numCache>
                <c:formatCode>0.000_);[Red]\(0.000\)</c:formatCode>
                <c:ptCount val="25"/>
                <c:pt idx="0" formatCode="General">
                  <c:v>0</c:v>
                </c:pt>
                <c:pt idx="1">
                  <c:v>-1.9096000527263096E-2</c:v>
                </c:pt>
                <c:pt idx="2">
                  <c:v>1.0170796615987049E-2</c:v>
                </c:pt>
                <c:pt idx="3">
                  <c:v>-8.7136906881388893E-3</c:v>
                </c:pt>
                <c:pt idx="4">
                  <c:v>-9.798285872383905E-3</c:v>
                </c:pt>
                <c:pt idx="5">
                  <c:v>4.4674437890081242E-4</c:v>
                </c:pt>
                <c:pt idx="6">
                  <c:v>-6.5844811007921319E-2</c:v>
                </c:pt>
                <c:pt idx="7">
                  <c:v>-8.6611216688745746E-3</c:v>
                </c:pt>
                <c:pt idx="8">
                  <c:v>8.7045488011716313E-2</c:v>
                </c:pt>
                <c:pt idx="9">
                  <c:v>0.13581358535898999</c:v>
                </c:pt>
                <c:pt idx="10">
                  <c:v>0.15863661542894475</c:v>
                </c:pt>
                <c:pt idx="11">
                  <c:v>0.13565231793082744</c:v>
                </c:pt>
                <c:pt idx="12">
                  <c:v>3.5194980841178336E-2</c:v>
                </c:pt>
                <c:pt idx="13">
                  <c:v>2.3792822228587168E-2</c:v>
                </c:pt>
                <c:pt idx="14">
                  <c:v>0.12888646790651076</c:v>
                </c:pt>
                <c:pt idx="15">
                  <c:v>1.6024176182586409E-2</c:v>
                </c:pt>
                <c:pt idx="16">
                  <c:v>-1.219758626415903E-2</c:v>
                </c:pt>
                <c:pt idx="17">
                  <c:v>4.8792289923761762E-3</c:v>
                </c:pt>
                <c:pt idx="18">
                  <c:v>-3.1310412587610283E-2</c:v>
                </c:pt>
                <c:pt idx="19">
                  <c:v>7.4940002331280731E-3</c:v>
                </c:pt>
                <c:pt idx="20">
                  <c:v>0.12360037185775719</c:v>
                </c:pt>
                <c:pt idx="21">
                  <c:v>0.19901053713933961</c:v>
                </c:pt>
                <c:pt idx="22">
                  <c:v>0.19145142926828732</c:v>
                </c:pt>
                <c:pt idx="23">
                  <c:v>0.15103533290838667</c:v>
                </c:pt>
                <c:pt idx="24">
                  <c:v>2.7819777966538655E-2</c:v>
                </c:pt>
              </c:numCache>
            </c:numRef>
          </c:val>
          <c:smooth val="0"/>
          <c:extLst>
            <c:ext xmlns:c16="http://schemas.microsoft.com/office/drawing/2014/chart" uri="{C3380CC4-5D6E-409C-BE32-E72D297353CC}">
              <c16:uniqueId val="{00000001-258F-8A4D-9A89-00E9BA351586}"/>
            </c:ext>
          </c:extLst>
        </c:ser>
        <c:ser>
          <c:idx val="5"/>
          <c:order val="2"/>
          <c:tx>
            <c:strRef>
              <c:f>'Working Capital'!$J$26:$K$26</c:f>
              <c:strCache>
                <c:ptCount val="2"/>
                <c:pt idx="0">
                  <c:v>S&amp;P 500</c:v>
                </c:pt>
              </c:strCache>
            </c:strRef>
          </c:tx>
          <c:spPr>
            <a:ln w="28575">
              <a:solidFill>
                <a:schemeClr val="accent4"/>
              </a:solidFill>
            </a:ln>
          </c:spPr>
          <c:marker>
            <c:symbol val="none"/>
          </c:marker>
          <c:cat>
            <c:strRef>
              <c:f>'Working Capital'!$L$2:$AJ$2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0.20531230398190772</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258F-8A4D-9A89-00E9BA351586}"/>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30" b="1" i="1" u="none" baseline="0">
                <a:solidFill>
                  <a:schemeClr val="accent1"/>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Working Capital</a:t>
            </a:r>
            <a:r>
              <a:rPr lang="ko-KR" altLang="ko-KR" sz="3000">
                <a:effectLst/>
              </a:rPr>
              <a:t> </a:t>
            </a:r>
          </a:p>
        </c:rich>
      </c:tx>
      <c:overlay val="0"/>
      <c:spPr>
        <a:noFill/>
        <a:ln>
          <a:noFill/>
        </a:ln>
        <a:effectLst/>
      </c:spPr>
    </c:title>
    <c:autoTitleDeleted val="0"/>
    <c:plotArea>
      <c:layout>
        <c:manualLayout>
          <c:layoutTarget val="inner"/>
          <c:xMode val="edge"/>
          <c:yMode val="edge"/>
          <c:x val="0.10547308607246376"/>
          <c:y val="0.13386089041494023"/>
          <c:w val="0.73197923430302936"/>
          <c:h val="0.73600796748814845"/>
        </c:manualLayout>
      </c:layout>
      <c:lineChart>
        <c:grouping val="standard"/>
        <c:varyColors val="0"/>
        <c:ser>
          <c:idx val="0"/>
          <c:order val="0"/>
          <c:tx>
            <c:strRef>
              <c:f>'Working Capital'!$J$2:$K$2</c:f>
              <c:strCache>
                <c:ptCount val="2"/>
                <c:pt idx="0">
                  <c:v>GOOD</c:v>
                </c:pt>
              </c:strCache>
            </c:strRef>
          </c:tx>
          <c:spPr>
            <a:ln w="28575" cap="rnd" cmpd="sng">
              <a:solidFill>
                <a:srgbClr val="FF0000"/>
              </a:solidFill>
              <a:round/>
            </a:ln>
            <a:effectLst/>
          </c:spPr>
          <c:marker>
            <c:symbol val="none"/>
          </c:marker>
          <c:cat>
            <c:strRef>
              <c:f>'Working Capital'!$L$2:$AJ$2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Capital'!$L$11:$AJ$11</c:f>
              <c:numCache>
                <c:formatCode>0.000_);[Red]\(0.000\)</c:formatCode>
                <c:ptCount val="25"/>
                <c:pt idx="0" formatCode="General">
                  <c:v>0</c:v>
                </c:pt>
                <c:pt idx="1">
                  <c:v>-4.9158872598074221E-2</c:v>
                </c:pt>
                <c:pt idx="2">
                  <c:v>-2.9148870203885804E-2</c:v>
                </c:pt>
                <c:pt idx="3">
                  <c:v>-4.426056522516561E-2</c:v>
                </c:pt>
                <c:pt idx="4">
                  <c:v>-4.517648074398628E-2</c:v>
                </c:pt>
                <c:pt idx="5">
                  <c:v>-7.567783058502732E-2</c:v>
                </c:pt>
                <c:pt idx="6">
                  <c:v>-0.1224375355559682</c:v>
                </c:pt>
                <c:pt idx="7">
                  <c:v>-0.10493665862057178</c:v>
                </c:pt>
                <c:pt idx="8">
                  <c:v>2.4048492400707416E-3</c:v>
                </c:pt>
                <c:pt idx="9">
                  <c:v>4.9354922393565204E-2</c:v>
                </c:pt>
                <c:pt idx="10">
                  <c:v>0.10269561332949613</c:v>
                </c:pt>
                <c:pt idx="11">
                  <c:v>0.11780042212081512</c:v>
                </c:pt>
                <c:pt idx="12">
                  <c:v>-2.7464707844265343E-2</c:v>
                </c:pt>
                <c:pt idx="13">
                  <c:v>-0.11403344274192402</c:v>
                </c:pt>
                <c:pt idx="14">
                  <c:v>-5.8261375655969255E-3</c:v>
                </c:pt>
                <c:pt idx="15">
                  <c:v>-0.11105564135326873</c:v>
                </c:pt>
                <c:pt idx="16">
                  <c:v>-0.13218070181278566</c:v>
                </c:pt>
                <c:pt idx="17">
                  <c:v>-0.13723980933690516</c:v>
                </c:pt>
                <c:pt idx="18">
                  <c:v>-0.16288977667924723</c:v>
                </c:pt>
                <c:pt idx="19">
                  <c:v>-0.18724454737018847</c:v>
                </c:pt>
                <c:pt idx="20">
                  <c:v>-6.0236540923393311E-2</c:v>
                </c:pt>
                <c:pt idx="21">
                  <c:v>4.8003867478021656E-2</c:v>
                </c:pt>
                <c:pt idx="22">
                  <c:v>9.9360183399994306E-2</c:v>
                </c:pt>
                <c:pt idx="23">
                  <c:v>0.11885022760547338</c:v>
                </c:pt>
                <c:pt idx="24">
                  <c:v>-3.6111121249854015E-2</c:v>
                </c:pt>
              </c:numCache>
            </c:numRef>
          </c:val>
          <c:smooth val="0"/>
          <c:extLst>
            <c:ext xmlns:c16="http://schemas.microsoft.com/office/drawing/2014/chart" uri="{C3380CC4-5D6E-409C-BE32-E72D297353CC}">
              <c16:uniqueId val="{00000000-DB74-8B4D-964C-5AD1480592D4}"/>
            </c:ext>
          </c:extLst>
        </c:ser>
        <c:ser>
          <c:idx val="1"/>
          <c:order val="1"/>
          <c:tx>
            <c:strRef>
              <c:f>'Working Capital'!$J$15:$K$15</c:f>
              <c:strCache>
                <c:ptCount val="2"/>
                <c:pt idx="0">
                  <c:v>BAD</c:v>
                </c:pt>
              </c:strCache>
            </c:strRef>
          </c:tx>
          <c:spPr>
            <a:ln w="28575" cap="rnd" cmpd="sng" algn="ctr">
              <a:solidFill>
                <a:schemeClr val="accent1"/>
              </a:solidFill>
              <a:prstDash val="solid"/>
              <a:round/>
              <a:headEnd w="med" len="med"/>
              <a:tailEnd w="med" len="med"/>
            </a:ln>
          </c:spPr>
          <c:marker>
            <c:symbol val="none"/>
          </c:marker>
          <c:cat>
            <c:strRef>
              <c:f>'Working Capital'!$L$2:$AJ$2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Capital'!$L$24:$AJ$24</c:f>
              <c:numCache>
                <c:formatCode>0.000_);[Red]\(0.000\)</c:formatCode>
                <c:ptCount val="25"/>
                <c:pt idx="0" formatCode="General">
                  <c:v>0</c:v>
                </c:pt>
                <c:pt idx="1">
                  <c:v>-1.9096000527263096E-2</c:v>
                </c:pt>
                <c:pt idx="2">
                  <c:v>1.0170796615987049E-2</c:v>
                </c:pt>
                <c:pt idx="3">
                  <c:v>-8.7136906881388893E-3</c:v>
                </c:pt>
                <c:pt idx="4">
                  <c:v>-9.798285872383905E-3</c:v>
                </c:pt>
                <c:pt idx="5">
                  <c:v>4.4674437890081242E-4</c:v>
                </c:pt>
                <c:pt idx="6">
                  <c:v>-6.5844811007921319E-2</c:v>
                </c:pt>
                <c:pt idx="7">
                  <c:v>-8.6611216688745746E-3</c:v>
                </c:pt>
                <c:pt idx="8">
                  <c:v>8.7045488011716313E-2</c:v>
                </c:pt>
                <c:pt idx="9">
                  <c:v>0.13581358535898999</c:v>
                </c:pt>
                <c:pt idx="10">
                  <c:v>0.15863661542894475</c:v>
                </c:pt>
                <c:pt idx="11">
                  <c:v>0.13565231793082744</c:v>
                </c:pt>
                <c:pt idx="12">
                  <c:v>3.5194980841178336E-2</c:v>
                </c:pt>
                <c:pt idx="13">
                  <c:v>2.3792822228587168E-2</c:v>
                </c:pt>
                <c:pt idx="14">
                  <c:v>0.12888646790651076</c:v>
                </c:pt>
                <c:pt idx="15">
                  <c:v>1.6024176182586409E-2</c:v>
                </c:pt>
                <c:pt idx="16">
                  <c:v>-1.219758626415903E-2</c:v>
                </c:pt>
                <c:pt idx="17">
                  <c:v>4.8792289923761762E-3</c:v>
                </c:pt>
                <c:pt idx="18">
                  <c:v>-3.1310412587610283E-2</c:v>
                </c:pt>
                <c:pt idx="19">
                  <c:v>7.4940002331280731E-3</c:v>
                </c:pt>
                <c:pt idx="20">
                  <c:v>0.12360037185775719</c:v>
                </c:pt>
                <c:pt idx="21">
                  <c:v>0.19901053713933961</c:v>
                </c:pt>
                <c:pt idx="22">
                  <c:v>0.19145142926828732</c:v>
                </c:pt>
                <c:pt idx="23">
                  <c:v>0.15103533290838667</c:v>
                </c:pt>
                <c:pt idx="24">
                  <c:v>2.7819777966538655E-2</c:v>
                </c:pt>
              </c:numCache>
            </c:numRef>
          </c:val>
          <c:smooth val="0"/>
          <c:extLst>
            <c:ext xmlns:c16="http://schemas.microsoft.com/office/drawing/2014/chart" uri="{C3380CC4-5D6E-409C-BE32-E72D297353CC}">
              <c16:uniqueId val="{00000001-DB74-8B4D-964C-5AD1480592D4}"/>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chemeClr val="accent1"/>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Working Capital</a:t>
            </a:r>
            <a:r>
              <a:rPr lang="ko-KR" altLang="ko-KR" sz="3000">
                <a:effectLst/>
              </a:rPr>
              <a:t> </a:t>
            </a:r>
          </a:p>
        </c:rich>
      </c:tx>
      <c:overlay val="0"/>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'Inventory turnover'!$J$2:$K$2</c:f>
              <c:strCache>
                <c:ptCount val="2"/>
                <c:pt idx="0">
                  <c:v>GOOD</c:v>
                </c:pt>
              </c:strCache>
            </c:strRef>
          </c:tx>
          <c:spPr>
            <a:ln w="28575" cap="rnd" cmpd="sng">
              <a:solidFill>
                <a:srgbClr val="FF0000"/>
              </a:solidFill>
              <a:round/>
            </a:ln>
            <a:effectLst/>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Capital'!$L$11:$AJ$11</c:f>
              <c:numCache>
                <c:formatCode>0.000_);[Red]\(0.000\)</c:formatCode>
                <c:ptCount val="25"/>
                <c:pt idx="0" formatCode="General">
                  <c:v>0</c:v>
                </c:pt>
                <c:pt idx="1">
                  <c:v>-4.9158872598074221E-2</c:v>
                </c:pt>
                <c:pt idx="2">
                  <c:v>-2.9148870203885804E-2</c:v>
                </c:pt>
                <c:pt idx="3">
                  <c:v>-4.426056522516561E-2</c:v>
                </c:pt>
                <c:pt idx="4">
                  <c:v>-4.517648074398628E-2</c:v>
                </c:pt>
                <c:pt idx="5">
                  <c:v>-7.567783058502732E-2</c:v>
                </c:pt>
                <c:pt idx="6">
                  <c:v>-0.1224375355559682</c:v>
                </c:pt>
                <c:pt idx="7">
                  <c:v>-0.10493665862057178</c:v>
                </c:pt>
                <c:pt idx="8">
                  <c:v>2.4048492400707416E-3</c:v>
                </c:pt>
                <c:pt idx="9">
                  <c:v>4.9354922393565204E-2</c:v>
                </c:pt>
                <c:pt idx="10">
                  <c:v>0.10269561332949613</c:v>
                </c:pt>
                <c:pt idx="11">
                  <c:v>0.11780042212081512</c:v>
                </c:pt>
                <c:pt idx="12">
                  <c:v>-2.7464707844265343E-2</c:v>
                </c:pt>
                <c:pt idx="13">
                  <c:v>-0.11403344274192402</c:v>
                </c:pt>
                <c:pt idx="14">
                  <c:v>-5.8261375655969255E-3</c:v>
                </c:pt>
                <c:pt idx="15">
                  <c:v>-0.11105564135326873</c:v>
                </c:pt>
                <c:pt idx="16">
                  <c:v>-0.13218070181278566</c:v>
                </c:pt>
                <c:pt idx="17">
                  <c:v>-0.13723980933690516</c:v>
                </c:pt>
                <c:pt idx="18">
                  <c:v>-0.16288977667924723</c:v>
                </c:pt>
                <c:pt idx="19">
                  <c:v>-0.18724454737018847</c:v>
                </c:pt>
                <c:pt idx="20">
                  <c:v>-6.0236540923393311E-2</c:v>
                </c:pt>
                <c:pt idx="21">
                  <c:v>4.8003867478021656E-2</c:v>
                </c:pt>
                <c:pt idx="22">
                  <c:v>9.9360183399994306E-2</c:v>
                </c:pt>
                <c:pt idx="23">
                  <c:v>0.11885022760547338</c:v>
                </c:pt>
                <c:pt idx="24">
                  <c:v>-3.6111121249854015E-2</c:v>
                </c:pt>
              </c:numCache>
            </c:numRef>
          </c:val>
          <c:smooth val="0"/>
          <c:extLst>
            <c:ext xmlns:c16="http://schemas.microsoft.com/office/drawing/2014/chart" uri="{C3380CC4-5D6E-409C-BE32-E72D297353CC}">
              <c16:uniqueId val="{00000000-99C1-2748-A3DD-460D63E45013}"/>
            </c:ext>
          </c:extLst>
        </c:ser>
        <c:ser>
          <c:idx val="1"/>
          <c:order val="1"/>
          <c:tx>
            <c:strRef>
              <c:f>'Inventory turnover'!$J$15:$K$15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turnover'!$L$24:$AJ$24</c:f>
              <c:numCache>
                <c:formatCode>0.000_);[Red]\(0.000\)</c:formatCode>
                <c:ptCount val="25"/>
                <c:pt idx="0" formatCode="General">
                  <c:v>0</c:v>
                </c:pt>
                <c:pt idx="1">
                  <c:v>-3.8549195542439088E-2</c:v>
                </c:pt>
                <c:pt idx="2">
                  <c:v>-2.0373509541224064E-2</c:v>
                </c:pt>
                <c:pt idx="3">
                  <c:v>-3.3251218110751282E-2</c:v>
                </c:pt>
                <c:pt idx="4">
                  <c:v>-3.309598497846851E-2</c:v>
                </c:pt>
                <c:pt idx="5">
                  <c:v>-8.8661666677026379E-3</c:v>
                </c:pt>
                <c:pt idx="6">
                  <c:v>-8.8378248152463729E-2</c:v>
                </c:pt>
                <c:pt idx="7">
                  <c:v>-3.7228757801663917E-2</c:v>
                </c:pt>
                <c:pt idx="8">
                  <c:v>3.3443496944310633E-2</c:v>
                </c:pt>
                <c:pt idx="9">
                  <c:v>9.0539603981977329E-2</c:v>
                </c:pt>
                <c:pt idx="10">
                  <c:v>9.573043870610401E-2</c:v>
                </c:pt>
                <c:pt idx="11">
                  <c:v>0.11733973163037284</c:v>
                </c:pt>
                <c:pt idx="12">
                  <c:v>-7.9323199788833149E-3</c:v>
                </c:pt>
                <c:pt idx="13">
                  <c:v>-6.5610372095760122E-2</c:v>
                </c:pt>
                <c:pt idx="14">
                  <c:v>5.0077819524870046E-2</c:v>
                </c:pt>
                <c:pt idx="15">
                  <c:v>-4.7749562979642592E-2</c:v>
                </c:pt>
                <c:pt idx="16">
                  <c:v>-8.1269895867992492E-2</c:v>
                </c:pt>
                <c:pt idx="17">
                  <c:v>-7.3571771529441485E-2</c:v>
                </c:pt>
                <c:pt idx="18">
                  <c:v>-0.13624622198473127</c:v>
                </c:pt>
                <c:pt idx="19">
                  <c:v>-0.13520361480284179</c:v>
                </c:pt>
                <c:pt idx="20">
                  <c:v>-4.8772811293573616E-2</c:v>
                </c:pt>
                <c:pt idx="21">
                  <c:v>6.2096438801539443E-2</c:v>
                </c:pt>
                <c:pt idx="22">
                  <c:v>6.2581835383796899E-2</c:v>
                </c:pt>
                <c:pt idx="23">
                  <c:v>7.1359574771481318E-2</c:v>
                </c:pt>
                <c:pt idx="24">
                  <c:v>-4.760621331965622E-2</c:v>
                </c:pt>
              </c:numCache>
            </c:numRef>
          </c:val>
          <c:smooth val="0"/>
          <c:extLst>
            <c:ext xmlns:c16="http://schemas.microsoft.com/office/drawing/2014/chart" uri="{C3380CC4-5D6E-409C-BE32-E72D297353CC}">
              <c16:uniqueId val="{00000001-99C1-2748-A3DD-460D63E45013}"/>
            </c:ext>
          </c:extLst>
        </c:ser>
        <c:ser>
          <c:idx val="2"/>
          <c:order val="2"/>
          <c:tx>
            <c:strRef>
              <c:f>'Inventory turnover'!$J$68:$K$68</c:f>
              <c:strCache>
                <c:ptCount val="2"/>
                <c:pt idx="0">
                  <c:v>Industry average</c:v>
                </c:pt>
              </c:strCache>
            </c:strRef>
          </c:tx>
          <c:spPr>
            <a:ln w="28575">
              <a:solidFill>
                <a:schemeClr val="accent6"/>
              </a:solidFill>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99C1-2748-A3DD-460D63E45013}"/>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Working Capital ratio</a:t>
            </a:r>
            <a:r>
              <a:rPr lang="ko-KR" altLang="ko-KR" sz="3000">
                <a:effectLst/>
              </a:rPr>
              <a:t> </a:t>
            </a:r>
          </a:p>
        </c:rich>
      </c:tx>
      <c:overlay val="0"/>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3"/>
          <c:order val="0"/>
          <c:tx>
            <c:strRef>
              <c:f>'Working Capital ratio'!$J$2:$K$2</c:f>
              <c:strCache>
                <c:ptCount val="2"/>
                <c:pt idx="0">
                  <c:v>GOOD</c:v>
                </c:pt>
              </c:strCache>
            </c:strRef>
          </c:tx>
          <c:spPr>
            <a:ln w="28575" cap="rnd" cmpd="sng">
              <a:solidFill>
                <a:srgbClr val="FF0000"/>
              </a:solidFill>
              <a:round/>
            </a:ln>
            <a:effectLst/>
          </c:spPr>
          <c:marker>
            <c:symbol val="none"/>
          </c:marker>
          <c:cat>
            <c:strRef>
              <c:f>'Working Capital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 ratio'!$L$11:$AJ$11</c:f>
              <c:numCache>
                <c:formatCode>0.000_);[Red]\(0.000\)</c:formatCode>
                <c:ptCount val="25"/>
                <c:pt idx="0" formatCode="General">
                  <c:v>0</c:v>
                </c:pt>
                <c:pt idx="1">
                  <c:v>4.8799918805395581E-3</c:v>
                </c:pt>
                <c:pt idx="2">
                  <c:v>2.8462278234323332E-2</c:v>
                </c:pt>
                <c:pt idx="3">
                  <c:v>2.5545460948072862E-2</c:v>
                </c:pt>
                <c:pt idx="4">
                  <c:v>3.3478738199756802E-2</c:v>
                </c:pt>
                <c:pt idx="5">
                  <c:v>2.7753045798733819E-2</c:v>
                </c:pt>
                <c:pt idx="6">
                  <c:v>-3.9491363423243248E-2</c:v>
                </c:pt>
                <c:pt idx="7">
                  <c:v>7.0084698688637342E-3</c:v>
                </c:pt>
                <c:pt idx="8">
                  <c:v>0.10873123794605027</c:v>
                </c:pt>
                <c:pt idx="9">
                  <c:v>0.15059095236717035</c:v>
                </c:pt>
                <c:pt idx="10">
                  <c:v>0.18051094168220461</c:v>
                </c:pt>
                <c:pt idx="11">
                  <c:v>0.17185970738040929</c:v>
                </c:pt>
                <c:pt idx="12">
                  <c:v>1.53866078526598E-2</c:v>
                </c:pt>
                <c:pt idx="13">
                  <c:v>-5.4840984416194907E-2</c:v>
                </c:pt>
                <c:pt idx="14">
                  <c:v>8.3500319894381503E-2</c:v>
                </c:pt>
                <c:pt idx="15">
                  <c:v>4.3084116546115013E-2</c:v>
                </c:pt>
                <c:pt idx="16">
                  <c:v>5.958536692617189E-2</c:v>
                </c:pt>
                <c:pt idx="17">
                  <c:v>8.7946460112076838E-2</c:v>
                </c:pt>
                <c:pt idx="18">
                  <c:v>3.694079868432637E-2</c:v>
                </c:pt>
                <c:pt idx="19">
                  <c:v>8.6562460684547204E-4</c:v>
                </c:pt>
                <c:pt idx="20">
                  <c:v>0.12449625034538742</c:v>
                </c:pt>
                <c:pt idx="21">
                  <c:v>0.24630081567950771</c:v>
                </c:pt>
                <c:pt idx="22">
                  <c:v>0.25706450062190861</c:v>
                </c:pt>
                <c:pt idx="23">
                  <c:v>0.26013409359181527</c:v>
                </c:pt>
                <c:pt idx="24">
                  <c:v>0.10290955451587376</c:v>
                </c:pt>
              </c:numCache>
            </c:numRef>
          </c:val>
          <c:smooth val="0"/>
          <c:extLst>
            <c:ext xmlns:c16="http://schemas.microsoft.com/office/drawing/2014/chart" uri="{C3380CC4-5D6E-409C-BE32-E72D297353CC}">
              <c16:uniqueId val="{00000000-988B-714E-82B4-58F9E6C0FEE6}"/>
            </c:ext>
          </c:extLst>
        </c:ser>
        <c:ser>
          <c:idx val="4"/>
          <c:order val="1"/>
          <c:tx>
            <c:strRef>
              <c:f>'Working Capital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'Working Capital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 ratio'!$L$24:$AJ$24</c:f>
              <c:numCache>
                <c:formatCode>0.000_);[Red]\(0.000\)</c:formatCode>
                <c:ptCount val="25"/>
                <c:pt idx="0" formatCode="General">
                  <c:v>0</c:v>
                </c:pt>
                <c:pt idx="1">
                  <c:v>-2.6538173424347139E-2</c:v>
                </c:pt>
                <c:pt idx="2">
                  <c:v>-1.1669221921125905E-2</c:v>
                </c:pt>
                <c:pt idx="3">
                  <c:v>1.7755674257294296E-4</c:v>
                </c:pt>
                <c:pt idx="4">
                  <c:v>2.9870341596499247E-2</c:v>
                </c:pt>
                <c:pt idx="5">
                  <c:v>1.1871733254283368E-3</c:v>
                </c:pt>
                <c:pt idx="6">
                  <c:v>-2.3224823521285853E-2</c:v>
                </c:pt>
                <c:pt idx="7">
                  <c:v>7.8641974359640321E-4</c:v>
                </c:pt>
                <c:pt idx="8">
                  <c:v>0.10009045016363385</c:v>
                </c:pt>
                <c:pt idx="9">
                  <c:v>0.11442855595293183</c:v>
                </c:pt>
                <c:pt idx="10">
                  <c:v>0.18922413015350883</c:v>
                </c:pt>
                <c:pt idx="11">
                  <c:v>0.13129134023104028</c:v>
                </c:pt>
                <c:pt idx="12">
                  <c:v>4.9299885848633054E-2</c:v>
                </c:pt>
                <c:pt idx="13">
                  <c:v>2.1463201314046582E-3</c:v>
                </c:pt>
                <c:pt idx="14">
                  <c:v>7.2126908978638465E-3</c:v>
                </c:pt>
                <c:pt idx="15">
                  <c:v>3.7419049087927383E-2</c:v>
                </c:pt>
                <c:pt idx="16">
                  <c:v>-3.4259495359082424E-2</c:v>
                </c:pt>
                <c:pt idx="17">
                  <c:v>-5.8300525600817298E-2</c:v>
                </c:pt>
                <c:pt idx="18">
                  <c:v>-5.5838818639534014E-2</c:v>
                </c:pt>
                <c:pt idx="19">
                  <c:v>-6.8813516136360733E-2</c:v>
                </c:pt>
                <c:pt idx="20">
                  <c:v>5.3622542063666657E-2</c:v>
                </c:pt>
                <c:pt idx="21">
                  <c:v>0.14443362975195592</c:v>
                </c:pt>
                <c:pt idx="22">
                  <c:v>0.18384834424677252</c:v>
                </c:pt>
                <c:pt idx="23">
                  <c:v>0.18421417689779171</c:v>
                </c:pt>
                <c:pt idx="24">
                  <c:v>3.9163344632327068E-2</c:v>
                </c:pt>
              </c:numCache>
            </c:numRef>
          </c:val>
          <c:smooth val="0"/>
          <c:extLst>
            <c:ext xmlns:c16="http://schemas.microsoft.com/office/drawing/2014/chart" uri="{C3380CC4-5D6E-409C-BE32-E72D297353CC}">
              <c16:uniqueId val="{00000001-988B-714E-82B4-58F9E6C0FEE6}"/>
            </c:ext>
          </c:extLst>
        </c:ser>
        <c:ser>
          <c:idx val="5"/>
          <c:order val="2"/>
          <c:tx>
            <c:strRef>
              <c:f>'Working Capital ratio'!$J$26:$K$26</c:f>
              <c:strCache>
                <c:ptCount val="2"/>
                <c:pt idx="0">
                  <c:v>S&amp;P 500</c:v>
                </c:pt>
              </c:strCache>
            </c:strRef>
          </c:tx>
          <c:spPr>
            <a:ln w="28575">
              <a:solidFill>
                <a:schemeClr val="accent4"/>
              </a:solidFill>
            </a:ln>
          </c:spPr>
          <c:marker>
            <c:symbol val="none"/>
          </c:marker>
          <c:cat>
            <c:strRef>
              <c:f>'Working Capital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 ratio'!$L$31:$AJ$31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0.20531230398190772</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988B-714E-82B4-58F9E6C0FEE6}"/>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30" b="1" i="1" u="none" baseline="0">
                <a:solidFill>
                  <a:schemeClr val="accent1"/>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Working Capital </a:t>
            </a:r>
            <a:r>
              <a:rPr lang="fr-FR" altLang="ko-KR" sz="3000" b="1" i="0" u="none" strike="noStrike">
                <a:effectLst/>
              </a:rPr>
              <a:t>R</a:t>
            </a:r>
            <a:r>
              <a:rPr lang="ko-KR" altLang="ko-KR" sz="3000" b="1" i="0" u="none" strike="noStrike">
                <a:effectLst/>
              </a:rPr>
              <a:t>atio</a:t>
            </a:r>
            <a:r>
              <a:rPr lang="ko-KR" altLang="ko-KR" sz="3000">
                <a:effectLst/>
              </a:rPr>
              <a:t> </a:t>
            </a:r>
          </a:p>
        </c:rich>
      </c:tx>
      <c:overlay val="0"/>
      <c:spPr>
        <a:noFill/>
        <a:ln>
          <a:noFill/>
        </a:ln>
        <a:effectLst/>
      </c:spPr>
    </c:title>
    <c:autoTitleDeleted val="0"/>
    <c:plotArea>
      <c:layout>
        <c:manualLayout>
          <c:layoutTarget val="inner"/>
          <c:xMode val="edge"/>
          <c:yMode val="edge"/>
          <c:x val="0.12132501096901928"/>
          <c:y val="0.12736631091246606"/>
          <c:w val="0.73197923430302936"/>
          <c:h val="0.73600796748814845"/>
        </c:manualLayout>
      </c:layout>
      <c:lineChart>
        <c:grouping val="standard"/>
        <c:varyColors val="0"/>
        <c:ser>
          <c:idx val="0"/>
          <c:order val="0"/>
          <c:tx>
            <c:strRef>
              <c:f>'Working Capital ratio'!$J$2:$K$2</c:f>
              <c:strCache>
                <c:ptCount val="2"/>
                <c:pt idx="0">
                  <c:v>GOOD</c:v>
                </c:pt>
              </c:strCache>
            </c:strRef>
          </c:tx>
          <c:spPr>
            <a:ln w="28575" cap="rnd" cmpd="sng">
              <a:solidFill>
                <a:srgbClr val="FF0000"/>
              </a:solidFill>
              <a:round/>
            </a:ln>
            <a:effectLst/>
          </c:spPr>
          <c:marker>
            <c:symbol val="none"/>
          </c:marker>
          <c:cat>
            <c:strRef>
              <c:f>'Working Capital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 ratio'!$L$11:$AJ$11</c:f>
              <c:numCache>
                <c:formatCode>0.000_);[Red]\(0.000\)</c:formatCode>
                <c:ptCount val="25"/>
                <c:pt idx="0" formatCode="General">
                  <c:v>0</c:v>
                </c:pt>
                <c:pt idx="1">
                  <c:v>4.8799918805395581E-3</c:v>
                </c:pt>
                <c:pt idx="2">
                  <c:v>2.8462278234323332E-2</c:v>
                </c:pt>
                <c:pt idx="3">
                  <c:v>2.5545460948072862E-2</c:v>
                </c:pt>
                <c:pt idx="4">
                  <c:v>3.3478738199756802E-2</c:v>
                </c:pt>
                <c:pt idx="5">
                  <c:v>2.7753045798733819E-2</c:v>
                </c:pt>
                <c:pt idx="6">
                  <c:v>-3.9491363423243248E-2</c:v>
                </c:pt>
                <c:pt idx="7">
                  <c:v>7.0084698688637342E-3</c:v>
                </c:pt>
                <c:pt idx="8">
                  <c:v>0.10873123794605027</c:v>
                </c:pt>
                <c:pt idx="9">
                  <c:v>0.15059095236717035</c:v>
                </c:pt>
                <c:pt idx="10">
                  <c:v>0.18051094168220461</c:v>
                </c:pt>
                <c:pt idx="11">
                  <c:v>0.17185970738040929</c:v>
                </c:pt>
                <c:pt idx="12">
                  <c:v>1.53866078526598E-2</c:v>
                </c:pt>
                <c:pt idx="13">
                  <c:v>-5.4840984416194907E-2</c:v>
                </c:pt>
                <c:pt idx="14">
                  <c:v>8.3500319894381503E-2</c:v>
                </c:pt>
                <c:pt idx="15">
                  <c:v>4.3084116546115013E-2</c:v>
                </c:pt>
                <c:pt idx="16">
                  <c:v>5.958536692617189E-2</c:v>
                </c:pt>
                <c:pt idx="17">
                  <c:v>8.7946460112076838E-2</c:v>
                </c:pt>
                <c:pt idx="18">
                  <c:v>3.694079868432637E-2</c:v>
                </c:pt>
                <c:pt idx="19">
                  <c:v>8.6562460684547204E-4</c:v>
                </c:pt>
                <c:pt idx="20">
                  <c:v>0.12449625034538742</c:v>
                </c:pt>
                <c:pt idx="21">
                  <c:v>0.24630081567950771</c:v>
                </c:pt>
                <c:pt idx="22">
                  <c:v>0.25706450062190861</c:v>
                </c:pt>
                <c:pt idx="23">
                  <c:v>0.26013409359181527</c:v>
                </c:pt>
                <c:pt idx="24">
                  <c:v>0.10290955451587376</c:v>
                </c:pt>
              </c:numCache>
            </c:numRef>
          </c:val>
          <c:smooth val="0"/>
          <c:extLst>
            <c:ext xmlns:c16="http://schemas.microsoft.com/office/drawing/2014/chart" uri="{C3380CC4-5D6E-409C-BE32-E72D297353CC}">
              <c16:uniqueId val="{00000000-E335-914E-B2C6-2F32F672C855}"/>
            </c:ext>
          </c:extLst>
        </c:ser>
        <c:ser>
          <c:idx val="1"/>
          <c:order val="1"/>
          <c:tx>
            <c:strRef>
              <c:f>'Working Capital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'Working Capital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 ratio'!$L$24:$AJ$24</c:f>
              <c:numCache>
                <c:formatCode>0.000_);[Red]\(0.000\)</c:formatCode>
                <c:ptCount val="25"/>
                <c:pt idx="0" formatCode="General">
                  <c:v>0</c:v>
                </c:pt>
                <c:pt idx="1">
                  <c:v>-2.6538173424347139E-2</c:v>
                </c:pt>
                <c:pt idx="2">
                  <c:v>-1.1669221921125905E-2</c:v>
                </c:pt>
                <c:pt idx="3">
                  <c:v>1.7755674257294296E-4</c:v>
                </c:pt>
                <c:pt idx="4">
                  <c:v>2.9870341596499247E-2</c:v>
                </c:pt>
                <c:pt idx="5">
                  <c:v>1.1871733254283368E-3</c:v>
                </c:pt>
                <c:pt idx="6">
                  <c:v>-2.3224823521285853E-2</c:v>
                </c:pt>
                <c:pt idx="7">
                  <c:v>7.8641974359640321E-4</c:v>
                </c:pt>
                <c:pt idx="8">
                  <c:v>0.10009045016363385</c:v>
                </c:pt>
                <c:pt idx="9">
                  <c:v>0.11442855595293183</c:v>
                </c:pt>
                <c:pt idx="10">
                  <c:v>0.18922413015350883</c:v>
                </c:pt>
                <c:pt idx="11">
                  <c:v>0.13129134023104028</c:v>
                </c:pt>
                <c:pt idx="12">
                  <c:v>4.9299885848633054E-2</c:v>
                </c:pt>
                <c:pt idx="13">
                  <c:v>2.1463201314046582E-3</c:v>
                </c:pt>
                <c:pt idx="14">
                  <c:v>7.2126908978638465E-3</c:v>
                </c:pt>
                <c:pt idx="15">
                  <c:v>3.7419049087927383E-2</c:v>
                </c:pt>
                <c:pt idx="16">
                  <c:v>-3.4259495359082424E-2</c:v>
                </c:pt>
                <c:pt idx="17">
                  <c:v>-5.8300525600817298E-2</c:v>
                </c:pt>
                <c:pt idx="18">
                  <c:v>-5.5838818639534014E-2</c:v>
                </c:pt>
                <c:pt idx="19">
                  <c:v>-6.8813516136360733E-2</c:v>
                </c:pt>
                <c:pt idx="20">
                  <c:v>5.3622542063666657E-2</c:v>
                </c:pt>
                <c:pt idx="21">
                  <c:v>0.14443362975195592</c:v>
                </c:pt>
                <c:pt idx="22">
                  <c:v>0.18384834424677252</c:v>
                </c:pt>
                <c:pt idx="23">
                  <c:v>0.18421417689779171</c:v>
                </c:pt>
                <c:pt idx="24">
                  <c:v>3.9163344632327068E-2</c:v>
                </c:pt>
              </c:numCache>
            </c:numRef>
          </c:val>
          <c:smooth val="0"/>
          <c:extLst>
            <c:ext xmlns:c16="http://schemas.microsoft.com/office/drawing/2014/chart" uri="{C3380CC4-5D6E-409C-BE32-E72D297353CC}">
              <c16:uniqueId val="{00000001-E335-914E-B2C6-2F32F672C855}"/>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Working Capital ratio</a:t>
            </a:r>
            <a:r>
              <a:rPr lang="ko-KR" altLang="ko-KR" sz="3000">
                <a:effectLst/>
              </a:rPr>
              <a:t> </a:t>
            </a:r>
          </a:p>
        </c:rich>
      </c:tx>
      <c:overlay val="0"/>
      <c:spPr>
        <a:noFill/>
        <a:ln>
          <a:noFill/>
        </a:ln>
        <a:effectLst/>
      </c:spPr>
    </c:title>
    <c:autoTitleDeleted val="0"/>
    <c:plotArea>
      <c:layout>
        <c:manualLayout>
          <c:layoutTarget val="inner"/>
          <c:xMode val="edge"/>
          <c:yMode val="edge"/>
          <c:x val="7.9009004313638789E-2"/>
          <c:y val="0.13387537736621063"/>
          <c:w val="0.73197923430302936"/>
          <c:h val="0.73600796748814845"/>
        </c:manualLayout>
      </c:layout>
      <c:lineChart>
        <c:grouping val="standard"/>
        <c:varyColors val="0"/>
        <c:ser>
          <c:idx val="0"/>
          <c:order val="0"/>
          <c:tx>
            <c:strRef>
              <c:f>'Inventory turnover'!$J$2:$K$2</c:f>
              <c:strCache>
                <c:ptCount val="2"/>
                <c:pt idx="0">
                  <c:v>GOOD</c:v>
                </c:pt>
              </c:strCache>
            </c:strRef>
          </c:tx>
          <c:spPr>
            <a:ln w="28575" cap="rnd" cmpd="sng">
              <a:solidFill>
                <a:srgbClr val="FF0000"/>
              </a:solidFill>
              <a:round/>
            </a:ln>
            <a:effectLst/>
          </c:spPr>
          <c:marker>
            <c:symbol val="none"/>
          </c:marker>
          <c:cat>
            <c:strRef>
              <c:f>'Working Capital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 ratio'!$L$11:$AJ$11</c:f>
              <c:numCache>
                <c:formatCode>0.000_);[Red]\(0.000\)</c:formatCode>
                <c:ptCount val="25"/>
                <c:pt idx="0" formatCode="General">
                  <c:v>0</c:v>
                </c:pt>
                <c:pt idx="1">
                  <c:v>4.8799918805395581E-3</c:v>
                </c:pt>
                <c:pt idx="2">
                  <c:v>2.8462278234323332E-2</c:v>
                </c:pt>
                <c:pt idx="3">
                  <c:v>2.5545460948072862E-2</c:v>
                </c:pt>
                <c:pt idx="4">
                  <c:v>3.3478738199756802E-2</c:v>
                </c:pt>
                <c:pt idx="5">
                  <c:v>2.7753045798733819E-2</c:v>
                </c:pt>
                <c:pt idx="6">
                  <c:v>-3.9491363423243248E-2</c:v>
                </c:pt>
                <c:pt idx="7">
                  <c:v>7.0084698688637342E-3</c:v>
                </c:pt>
                <c:pt idx="8">
                  <c:v>0.10873123794605027</c:v>
                </c:pt>
                <c:pt idx="9">
                  <c:v>0.15059095236717035</c:v>
                </c:pt>
                <c:pt idx="10">
                  <c:v>0.18051094168220461</c:v>
                </c:pt>
                <c:pt idx="11">
                  <c:v>0.17185970738040929</c:v>
                </c:pt>
                <c:pt idx="12">
                  <c:v>1.53866078526598E-2</c:v>
                </c:pt>
                <c:pt idx="13">
                  <c:v>-5.4840984416194907E-2</c:v>
                </c:pt>
                <c:pt idx="14">
                  <c:v>8.3500319894381503E-2</c:v>
                </c:pt>
                <c:pt idx="15">
                  <c:v>4.3084116546115013E-2</c:v>
                </c:pt>
                <c:pt idx="16">
                  <c:v>5.958536692617189E-2</c:v>
                </c:pt>
                <c:pt idx="17">
                  <c:v>8.7946460112076838E-2</c:v>
                </c:pt>
                <c:pt idx="18">
                  <c:v>3.694079868432637E-2</c:v>
                </c:pt>
                <c:pt idx="19">
                  <c:v>8.6562460684547204E-4</c:v>
                </c:pt>
                <c:pt idx="20">
                  <c:v>0.12449625034538742</c:v>
                </c:pt>
                <c:pt idx="21">
                  <c:v>0.24630081567950771</c:v>
                </c:pt>
                <c:pt idx="22">
                  <c:v>0.25706450062190861</c:v>
                </c:pt>
                <c:pt idx="23">
                  <c:v>0.26013409359181527</c:v>
                </c:pt>
                <c:pt idx="24">
                  <c:v>0.10290955451587376</c:v>
                </c:pt>
              </c:numCache>
            </c:numRef>
          </c:val>
          <c:smooth val="0"/>
          <c:extLst>
            <c:ext xmlns:c16="http://schemas.microsoft.com/office/drawing/2014/chart" uri="{C3380CC4-5D6E-409C-BE32-E72D297353CC}">
              <c16:uniqueId val="{00000000-4891-3841-88E0-BA809CAF2727}"/>
            </c:ext>
          </c:extLst>
        </c:ser>
        <c:ser>
          <c:idx val="1"/>
          <c:order val="1"/>
          <c:tx>
            <c:strRef>
              <c:f>'Working Capital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'Working Capital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'Working Capital ratio'!$L$24:$AJ$24</c:f>
              <c:numCache>
                <c:formatCode>0.000_);[Red]\(0.000\)</c:formatCode>
                <c:ptCount val="25"/>
                <c:pt idx="0" formatCode="General">
                  <c:v>0</c:v>
                </c:pt>
                <c:pt idx="1">
                  <c:v>-2.6538173424347139E-2</c:v>
                </c:pt>
                <c:pt idx="2">
                  <c:v>-1.1669221921125905E-2</c:v>
                </c:pt>
                <c:pt idx="3">
                  <c:v>1.7755674257294296E-4</c:v>
                </c:pt>
                <c:pt idx="4">
                  <c:v>2.9870341596499247E-2</c:v>
                </c:pt>
                <c:pt idx="5">
                  <c:v>1.1871733254283368E-3</c:v>
                </c:pt>
                <c:pt idx="6">
                  <c:v>-2.3224823521285853E-2</c:v>
                </c:pt>
                <c:pt idx="7">
                  <c:v>7.8641974359640321E-4</c:v>
                </c:pt>
                <c:pt idx="8">
                  <c:v>0.10009045016363385</c:v>
                </c:pt>
                <c:pt idx="9">
                  <c:v>0.11442855595293183</c:v>
                </c:pt>
                <c:pt idx="10">
                  <c:v>0.18922413015350883</c:v>
                </c:pt>
                <c:pt idx="11">
                  <c:v>0.13129134023104028</c:v>
                </c:pt>
                <c:pt idx="12">
                  <c:v>4.9299885848633054E-2</c:v>
                </c:pt>
                <c:pt idx="13">
                  <c:v>2.1463201314046582E-3</c:v>
                </c:pt>
                <c:pt idx="14">
                  <c:v>7.2126908978638465E-3</c:v>
                </c:pt>
                <c:pt idx="15">
                  <c:v>3.7419049087927383E-2</c:v>
                </c:pt>
                <c:pt idx="16">
                  <c:v>-3.4259495359082424E-2</c:v>
                </c:pt>
                <c:pt idx="17">
                  <c:v>-5.8300525600817298E-2</c:v>
                </c:pt>
                <c:pt idx="18">
                  <c:v>-5.5838818639534014E-2</c:v>
                </c:pt>
                <c:pt idx="19">
                  <c:v>-6.8813516136360733E-2</c:v>
                </c:pt>
                <c:pt idx="20">
                  <c:v>5.3622542063666657E-2</c:v>
                </c:pt>
                <c:pt idx="21">
                  <c:v>0.14443362975195592</c:v>
                </c:pt>
                <c:pt idx="22">
                  <c:v>0.18384834424677252</c:v>
                </c:pt>
                <c:pt idx="23">
                  <c:v>0.18421417689779171</c:v>
                </c:pt>
                <c:pt idx="24">
                  <c:v>3.9163344632327068E-2</c:v>
                </c:pt>
              </c:numCache>
            </c:numRef>
          </c:val>
          <c:smooth val="0"/>
          <c:extLst>
            <c:ext xmlns:c16="http://schemas.microsoft.com/office/drawing/2014/chart" uri="{C3380CC4-5D6E-409C-BE32-E72D297353CC}">
              <c16:uniqueId val="{00000001-4891-3841-88E0-BA809CAF2727}"/>
            </c:ext>
          </c:extLst>
        </c:ser>
        <c:ser>
          <c:idx val="2"/>
          <c:order val="2"/>
          <c:tx>
            <c:strRef>
              <c:f>'Inventory turnover'!$J$68:$K$68</c:f>
              <c:strCache>
                <c:ptCount val="2"/>
                <c:pt idx="0">
                  <c:v>Industry average</c:v>
                </c:pt>
              </c:strCache>
            </c:strRef>
          </c:tx>
          <c:spPr>
            <a:ln w="28575">
              <a:solidFill>
                <a:schemeClr val="accent6"/>
              </a:solidFill>
            </a:ln>
          </c:spPr>
          <c:marker>
            <c:symbol val="none"/>
          </c:marker>
          <c:cat>
            <c:strRef>
              <c:f>'Working Capital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4891-3841-88E0-BA809CAF2727}"/>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1808792646400663"/>
          <c:y val="0.15539244804599858"/>
          <c:w val="0.17292805094813271"/>
          <c:h val="0.11680666224872079"/>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en-US" sz="3000" b="1" i="0" u="none">
                <a:solidFill>
                  <a:sysClr val="windowText" lastClr="000000"/>
                </a:solidFill>
                <a:latin typeface="+mn-lt"/>
                <a:ea typeface="+mn-ea"/>
                <a:cs typeface="+mn-ea"/>
                <a:sym typeface="+mn-ea"/>
              </a:rPr>
              <a:t>Current</a:t>
            </a:r>
            <a:r>
              <a:rPr lang="en-US" sz="3000" b="1" i="0" u="none" baseline="0">
                <a:solidFill>
                  <a:sysClr val="windowText" lastClr="000000"/>
                </a:solidFill>
                <a:latin typeface="+mn-lt"/>
                <a:ea typeface="+mn-ea"/>
                <a:cs typeface="+mn-ea"/>
                <a:sym typeface="+mn-ea"/>
              </a:rPr>
              <a:t> ratio</a:t>
            </a:r>
            <a:endParaRPr lang="en-US" sz="3000"/>
          </a:p>
        </c:rich>
      </c:tx>
      <c:overlay val="0"/>
      <c:spPr>
        <a:noFill/>
        <a:ln>
          <a:noFill/>
        </a:ln>
        <a:effectLst/>
      </c:spPr>
    </c:title>
    <c:autoTitleDeleted val="0"/>
    <c:plotArea>
      <c:layout>
        <c:manualLayout>
          <c:layoutTarget val="inner"/>
          <c:xMode val="edge"/>
          <c:yMode val="edge"/>
          <c:x val="0.11352562552416431"/>
          <c:y val="0.13595940506723511"/>
          <c:w val="0.73197923430302936"/>
          <c:h val="0.67822297493712158"/>
        </c:manualLayout>
      </c:layout>
      <c:lineChart>
        <c:grouping val="standard"/>
        <c:varyColors val="0"/>
        <c:ser>
          <c:idx val="0"/>
          <c:order val="0"/>
          <c:tx>
            <c:strRef>
              <c:f>'Current ratio'!$J$2:$K$2</c:f>
              <c:strCache>
                <c:ptCount val="2"/>
                <c:pt idx="0">
                  <c:v>GOOD</c:v>
                </c:pt>
              </c:strCache>
            </c:strRef>
          </c:tx>
          <c:spPr>
            <a:ln w="28575" cap="rnd" cmpd="sng">
              <a:solidFill>
                <a:srgbClr val="FF0000"/>
              </a:solidFill>
              <a:round/>
            </a:ln>
            <a:effectLst/>
          </c:spPr>
          <c:marker>
            <c:symbol val="none"/>
          </c:marker>
          <c:cat>
            <c:strRef>
              <c:f>'Current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'Current ratio'!$L$11:$AJ$11</c:f>
              <c:numCache>
                <c:formatCode>0.000</c:formatCode>
                <c:ptCount val="25"/>
                <c:pt idx="0" formatCode="General">
                  <c:v>0</c:v>
                </c:pt>
                <c:pt idx="1">
                  <c:v>-3.1053206051222956E-2</c:v>
                </c:pt>
                <c:pt idx="2">
                  <c:v>-2.1115900414888922E-3</c:v>
                </c:pt>
                <c:pt idx="3">
                  <c:v>-2.1533282077002877E-2</c:v>
                </c:pt>
                <c:pt idx="4">
                  <c:v>-3.9591462849947204E-2</c:v>
                </c:pt>
                <c:pt idx="5">
                  <c:v>-7.9245530060575969E-2</c:v>
                </c:pt>
                <c:pt idx="6">
                  <c:v>-0.12435958789107594</c:v>
                </c:pt>
                <c:pt idx="7">
                  <c:v>-0.10391264645883787</c:v>
                </c:pt>
                <c:pt idx="8">
                  <c:v>1.0157654661866897E-2</c:v>
                </c:pt>
                <c:pt idx="9">
                  <c:v>4.5617814407017759E-2</c:v>
                </c:pt>
                <c:pt idx="10">
                  <c:v>0.10747577182358353</c:v>
                </c:pt>
                <c:pt idx="11">
                  <c:v>0.11827807265887916</c:v>
                </c:pt>
                <c:pt idx="12">
                  <c:v>-3.5662048339019661E-2</c:v>
                </c:pt>
                <c:pt idx="13">
                  <c:v>-8.949164384842502E-2</c:v>
                </c:pt>
                <c:pt idx="14">
                  <c:v>-2.3522834225255806E-3</c:v>
                </c:pt>
                <c:pt idx="15">
                  <c:v>-2.4578678530428371E-2</c:v>
                </c:pt>
                <c:pt idx="16">
                  <c:v>-8.7081840834186495E-3</c:v>
                </c:pt>
                <c:pt idx="17">
                  <c:v>5.7203069217415248E-5</c:v>
                </c:pt>
                <c:pt idx="18">
                  <c:v>-3.578914326417626E-2</c:v>
                </c:pt>
                <c:pt idx="19">
                  <c:v>-5.6232322379569023E-2</c:v>
                </c:pt>
                <c:pt idx="20">
                  <c:v>5.3548571599048835E-2</c:v>
                </c:pt>
                <c:pt idx="21">
                  <c:v>0.18410551567836442</c:v>
                </c:pt>
                <c:pt idx="22">
                  <c:v>0.19005238818770073</c:v>
                </c:pt>
                <c:pt idx="23">
                  <c:v>0.17248494652460181</c:v>
                </c:pt>
                <c:pt idx="24">
                  <c:v>9.8112815926272665E-3</c:v>
                </c:pt>
              </c:numCache>
            </c:numRef>
          </c:val>
          <c:smooth val="0"/>
          <c:extLst>
            <c:ext xmlns:c16="http://schemas.microsoft.com/office/drawing/2014/chart" uri="{C3380CC4-5D6E-409C-BE32-E72D297353CC}">
              <c16:uniqueId val="{00000000-16DC-42F9-9FE3-25675F1CA160}"/>
            </c:ext>
          </c:extLst>
        </c:ser>
        <c:ser>
          <c:idx val="1"/>
          <c:order val="1"/>
          <c:tx>
            <c:strRef>
              <c:f>'Current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'Current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'Current ratio'!$L$24:$AJ$24</c:f>
              <c:numCache>
                <c:formatCode>0.000</c:formatCode>
                <c:ptCount val="25"/>
                <c:pt idx="0" formatCode="General">
                  <c:v>0</c:v>
                </c:pt>
                <c:pt idx="1">
                  <c:v>-7.2581067958700521E-2</c:v>
                </c:pt>
                <c:pt idx="2">
                  <c:v>-3.0351167501957252E-2</c:v>
                </c:pt>
                <c:pt idx="3">
                  <c:v>-3.7620950074446227E-2</c:v>
                </c:pt>
                <c:pt idx="4">
                  <c:v>1.162737384742564E-2</c:v>
                </c:pt>
                <c:pt idx="5">
                  <c:v>-1.7202673802903093E-2</c:v>
                </c:pt>
                <c:pt idx="6">
                  <c:v>-8.5955836154365389E-2</c:v>
                </c:pt>
                <c:pt idx="7">
                  <c:v>-5.088002536208798E-2</c:v>
                </c:pt>
                <c:pt idx="8">
                  <c:v>3.9113957185610629E-2</c:v>
                </c:pt>
                <c:pt idx="9">
                  <c:v>6.2520763233253271E-2</c:v>
                </c:pt>
                <c:pt idx="10">
                  <c:v>0.12566550207446195</c:v>
                </c:pt>
                <c:pt idx="11">
                  <c:v>0.10146647877731903</c:v>
                </c:pt>
                <c:pt idx="12">
                  <c:v>-4.5519794650294987E-3</c:v>
                </c:pt>
                <c:pt idx="13">
                  <c:v>-5.1184470235105528E-2</c:v>
                </c:pt>
                <c:pt idx="14">
                  <c:v>8.6813540802876774E-2</c:v>
                </c:pt>
                <c:pt idx="15">
                  <c:v>-4.200460915837171E-2</c:v>
                </c:pt>
                <c:pt idx="16">
                  <c:v>-3.6580954484640625E-2</c:v>
                </c:pt>
                <c:pt idx="17">
                  <c:v>-8.5430410333180537E-2</c:v>
                </c:pt>
                <c:pt idx="18">
                  <c:v>-8.5231454919682162E-2</c:v>
                </c:pt>
                <c:pt idx="19">
                  <c:v>-0.1286192966285091</c:v>
                </c:pt>
                <c:pt idx="20">
                  <c:v>-1.8630772622917718E-2</c:v>
                </c:pt>
                <c:pt idx="21">
                  <c:v>6.7189297979502294E-2</c:v>
                </c:pt>
                <c:pt idx="22">
                  <c:v>4.3537669856022032E-2</c:v>
                </c:pt>
                <c:pt idx="23">
                  <c:v>4.6382751888101793E-2</c:v>
                </c:pt>
                <c:pt idx="24">
                  <c:v>-4.5992324293599153E-2</c:v>
                </c:pt>
              </c:numCache>
            </c:numRef>
          </c:val>
          <c:smooth val="0"/>
          <c:extLst>
            <c:ext xmlns:c16="http://schemas.microsoft.com/office/drawing/2014/chart" uri="{C3380CC4-5D6E-409C-BE32-E72D297353CC}">
              <c16:uniqueId val="{00000001-16DC-42F9-9FE3-25675F1CA160}"/>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en" altLang="ko-KR" sz="3000" b="1" i="0" u="none" strike="noStrike" kern="1200" baseline="0">
                <a:solidFill>
                  <a:sysClr val="windowText" lastClr="000000"/>
                </a:solidFill>
                <a:effectLst/>
                <a:cs typeface="+mn-ea"/>
                <a:sym typeface="+mn-ea"/>
              </a:rPr>
              <a:t>Current Ratio</a:t>
            </a:r>
            <a:endParaRPr lang="en-US" altLang="ko-KR" sz="3000" b="1" i="0" u="none" strike="noStrike" kern="1200" baseline="0">
              <a:solidFill>
                <a:sysClr val="windowText" lastClr="000000"/>
              </a:solidFill>
              <a:effectLst/>
              <a:cs typeface="+mn-ea"/>
              <a:sym typeface="+mn-ea"/>
            </a:endParaRPr>
          </a:p>
        </c:rich>
      </c:tx>
      <c:overlay val="0"/>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'Current ratio'!$J$2:$K$2</c:f>
              <c:strCache>
                <c:ptCount val="2"/>
                <c:pt idx="0">
                  <c:v>GOOD</c:v>
                </c:pt>
              </c:strCache>
            </c:strRef>
          </c:tx>
          <c:spPr>
            <a:ln w="28575" cap="rnd" cmpd="sng">
              <a:solidFill>
                <a:srgbClr val="FF0000"/>
              </a:solidFill>
              <a:round/>
            </a:ln>
            <a:effectLst/>
          </c:spPr>
          <c:marker>
            <c:symbol val="none"/>
          </c:marker>
          <c:cat>
            <c:strRef>
              <c:f>'Accounts receivable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'Current ratio'!$L$11:$AJ$11</c:f>
              <c:numCache>
                <c:formatCode>0.000</c:formatCode>
                <c:ptCount val="25"/>
                <c:pt idx="0" formatCode="General">
                  <c:v>0</c:v>
                </c:pt>
                <c:pt idx="1">
                  <c:v>-3.1053206051222956E-2</c:v>
                </c:pt>
                <c:pt idx="2">
                  <c:v>-2.1115900414888922E-3</c:v>
                </c:pt>
                <c:pt idx="3">
                  <c:v>-2.1533282077002877E-2</c:v>
                </c:pt>
                <c:pt idx="4">
                  <c:v>-3.9591462849947204E-2</c:v>
                </c:pt>
                <c:pt idx="5">
                  <c:v>-7.9245530060575969E-2</c:v>
                </c:pt>
                <c:pt idx="6">
                  <c:v>-0.12435958789107594</c:v>
                </c:pt>
                <c:pt idx="7">
                  <c:v>-0.10391264645883787</c:v>
                </c:pt>
                <c:pt idx="8">
                  <c:v>1.0157654661866897E-2</c:v>
                </c:pt>
                <c:pt idx="9">
                  <c:v>4.5617814407017759E-2</c:v>
                </c:pt>
                <c:pt idx="10">
                  <c:v>0.10747577182358353</c:v>
                </c:pt>
                <c:pt idx="11">
                  <c:v>0.11827807265887916</c:v>
                </c:pt>
                <c:pt idx="12">
                  <c:v>-3.5662048339019661E-2</c:v>
                </c:pt>
                <c:pt idx="13">
                  <c:v>-8.949164384842502E-2</c:v>
                </c:pt>
                <c:pt idx="14">
                  <c:v>-2.3522834225255806E-3</c:v>
                </c:pt>
                <c:pt idx="15">
                  <c:v>-2.4578678530428371E-2</c:v>
                </c:pt>
                <c:pt idx="16">
                  <c:v>-8.7081840834186495E-3</c:v>
                </c:pt>
                <c:pt idx="17">
                  <c:v>5.7203069217415248E-5</c:v>
                </c:pt>
                <c:pt idx="18">
                  <c:v>-3.578914326417626E-2</c:v>
                </c:pt>
                <c:pt idx="19">
                  <c:v>-5.6232322379569023E-2</c:v>
                </c:pt>
                <c:pt idx="20">
                  <c:v>5.3548571599048835E-2</c:v>
                </c:pt>
                <c:pt idx="21">
                  <c:v>0.18410551567836442</c:v>
                </c:pt>
                <c:pt idx="22">
                  <c:v>0.19005238818770073</c:v>
                </c:pt>
                <c:pt idx="23">
                  <c:v>0.17248494652460181</c:v>
                </c:pt>
                <c:pt idx="24">
                  <c:v>9.8112815926272665E-3</c:v>
                </c:pt>
              </c:numCache>
            </c:numRef>
          </c:val>
          <c:smooth val="0"/>
          <c:extLst>
            <c:ext xmlns:c16="http://schemas.microsoft.com/office/drawing/2014/chart" uri="{C3380CC4-5D6E-409C-BE32-E72D297353CC}">
              <c16:uniqueId val="{00000000-755D-494F-A70C-A98EF8D4CF43}"/>
            </c:ext>
          </c:extLst>
        </c:ser>
        <c:ser>
          <c:idx val="1"/>
          <c:order val="1"/>
          <c:tx>
            <c:strRef>
              <c:f>'Current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'Accounts receivable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'Current ratio'!$L$24:$AJ$24</c:f>
              <c:numCache>
                <c:formatCode>0.000</c:formatCode>
                <c:ptCount val="25"/>
                <c:pt idx="0" formatCode="General">
                  <c:v>0</c:v>
                </c:pt>
                <c:pt idx="1">
                  <c:v>-7.2581067958700521E-2</c:v>
                </c:pt>
                <c:pt idx="2">
                  <c:v>-3.0351167501957252E-2</c:v>
                </c:pt>
                <c:pt idx="3">
                  <c:v>-3.7620950074446227E-2</c:v>
                </c:pt>
                <c:pt idx="4">
                  <c:v>1.162737384742564E-2</c:v>
                </c:pt>
                <c:pt idx="5">
                  <c:v>-1.7202673802903093E-2</c:v>
                </c:pt>
                <c:pt idx="6">
                  <c:v>-8.5955836154365389E-2</c:v>
                </c:pt>
                <c:pt idx="7">
                  <c:v>-5.088002536208798E-2</c:v>
                </c:pt>
                <c:pt idx="8">
                  <c:v>3.9113957185610629E-2</c:v>
                </c:pt>
                <c:pt idx="9">
                  <c:v>6.2520763233253271E-2</c:v>
                </c:pt>
                <c:pt idx="10">
                  <c:v>0.12566550207446195</c:v>
                </c:pt>
                <c:pt idx="11">
                  <c:v>0.10146647877731903</c:v>
                </c:pt>
                <c:pt idx="12">
                  <c:v>-4.5519794650294987E-3</c:v>
                </c:pt>
                <c:pt idx="13">
                  <c:v>-5.1184470235105528E-2</c:v>
                </c:pt>
                <c:pt idx="14">
                  <c:v>8.6813540802876774E-2</c:v>
                </c:pt>
                <c:pt idx="15">
                  <c:v>-4.200460915837171E-2</c:v>
                </c:pt>
                <c:pt idx="16">
                  <c:v>-3.6580954484640625E-2</c:v>
                </c:pt>
                <c:pt idx="17">
                  <c:v>-8.5430410333180537E-2</c:v>
                </c:pt>
                <c:pt idx="18">
                  <c:v>-8.5231454919682162E-2</c:v>
                </c:pt>
                <c:pt idx="19">
                  <c:v>-0.1286192966285091</c:v>
                </c:pt>
                <c:pt idx="20">
                  <c:v>-1.8630772622917718E-2</c:v>
                </c:pt>
                <c:pt idx="21">
                  <c:v>6.7189297979502294E-2</c:v>
                </c:pt>
                <c:pt idx="22">
                  <c:v>4.3537669856022032E-2</c:v>
                </c:pt>
                <c:pt idx="23">
                  <c:v>4.6382751888101793E-2</c:v>
                </c:pt>
                <c:pt idx="24">
                  <c:v>-4.5992324293599153E-2</c:v>
                </c:pt>
              </c:numCache>
            </c:numRef>
          </c:val>
          <c:smooth val="0"/>
          <c:extLst>
            <c:ext xmlns:c16="http://schemas.microsoft.com/office/drawing/2014/chart" uri="{C3380CC4-5D6E-409C-BE32-E72D297353CC}">
              <c16:uniqueId val="{00000001-755D-494F-A70C-A98EF8D4CF43}"/>
            </c:ext>
          </c:extLst>
        </c:ser>
        <c:ser>
          <c:idx val="2"/>
          <c:order val="2"/>
          <c:tx>
            <c:strRef>
              <c:f>'Current ratio'!$J$55:$K$55</c:f>
              <c:strCache>
                <c:ptCount val="2"/>
                <c:pt idx="0">
                  <c:v>S&amp;P 500</c:v>
                </c:pt>
              </c:strCache>
            </c:strRef>
          </c:tx>
          <c:spPr>
            <a:ln w="28575">
              <a:solidFill>
                <a:schemeClr val="accent4"/>
              </a:solidFill>
            </a:ln>
          </c:spPr>
          <c:marker>
            <c:symbol val="none"/>
          </c:marker>
          <c:val>
            <c:numRef>
              <c:f>'Current ratio'!$L$60:$AJ$60</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0.20531230398190772</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755D-494F-A70C-A98EF8D4CF43}"/>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en" altLang="ko-KR" sz="3000" b="1" i="0" u="none" strike="noStrike">
                <a:effectLst/>
              </a:rPr>
              <a:t>Current Ratio</a:t>
            </a:r>
            <a:endParaRPr lang="en-US" altLang="ko-KR" sz="3000" b="1" i="0" u="none" strike="noStrike">
              <a:effectLst/>
            </a:endParaRPr>
          </a:p>
        </c:rich>
      </c:tx>
      <c:overlay val="0"/>
      <c:spPr>
        <a:noFill/>
        <a:ln>
          <a:noFill/>
        </a:ln>
        <a:effectLst/>
      </c:spPr>
    </c:title>
    <c:autoTitleDeleted val="0"/>
    <c:plotArea>
      <c:layout>
        <c:manualLayout>
          <c:layoutTarget val="inner"/>
          <c:xMode val="edge"/>
          <c:yMode val="edge"/>
          <c:x val="9.9336050520302671E-2"/>
          <c:y val="0.13601668759711372"/>
          <c:w val="0.73197923430302936"/>
          <c:h val="0.73600796748814845"/>
        </c:manualLayout>
      </c:layout>
      <c:lineChart>
        <c:grouping val="standard"/>
        <c:varyColors val="0"/>
        <c:ser>
          <c:idx val="0"/>
          <c:order val="0"/>
          <c:tx>
            <c:strRef>
              <c:f>'Current ratio'!$J$2:$K$2</c:f>
              <c:strCache>
                <c:ptCount val="2"/>
                <c:pt idx="0">
                  <c:v>GOOD</c:v>
                </c:pt>
              </c:strCache>
            </c:strRef>
          </c:tx>
          <c:spPr>
            <a:ln w="28575" cap="rnd" cmpd="sng">
              <a:solidFill>
                <a:srgbClr val="FF0000"/>
              </a:solidFill>
              <a:round/>
            </a:ln>
            <a:effectLst/>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'Current ratio'!$L$11:$AJ$11</c:f>
              <c:numCache>
                <c:formatCode>0.000</c:formatCode>
                <c:ptCount val="25"/>
                <c:pt idx="0" formatCode="General">
                  <c:v>0</c:v>
                </c:pt>
                <c:pt idx="1">
                  <c:v>-3.1053206051222956E-2</c:v>
                </c:pt>
                <c:pt idx="2">
                  <c:v>-2.1115900414888922E-3</c:v>
                </c:pt>
                <c:pt idx="3">
                  <c:v>-2.1533282077002877E-2</c:v>
                </c:pt>
                <c:pt idx="4">
                  <c:v>-3.9591462849947204E-2</c:v>
                </c:pt>
                <c:pt idx="5">
                  <c:v>-7.9245530060575969E-2</c:v>
                </c:pt>
                <c:pt idx="6">
                  <c:v>-0.12435958789107594</c:v>
                </c:pt>
                <c:pt idx="7">
                  <c:v>-0.10391264645883787</c:v>
                </c:pt>
                <c:pt idx="8">
                  <c:v>1.0157654661866897E-2</c:v>
                </c:pt>
                <c:pt idx="9">
                  <c:v>4.5617814407017759E-2</c:v>
                </c:pt>
                <c:pt idx="10">
                  <c:v>0.10747577182358353</c:v>
                </c:pt>
                <c:pt idx="11">
                  <c:v>0.11827807265887916</c:v>
                </c:pt>
                <c:pt idx="12">
                  <c:v>-3.5662048339019661E-2</c:v>
                </c:pt>
                <c:pt idx="13">
                  <c:v>-8.949164384842502E-2</c:v>
                </c:pt>
                <c:pt idx="14">
                  <c:v>-2.3522834225255806E-3</c:v>
                </c:pt>
                <c:pt idx="15">
                  <c:v>-2.4578678530428371E-2</c:v>
                </c:pt>
                <c:pt idx="16">
                  <c:v>-8.7081840834186495E-3</c:v>
                </c:pt>
                <c:pt idx="17">
                  <c:v>5.7203069217415248E-5</c:v>
                </c:pt>
                <c:pt idx="18">
                  <c:v>-3.578914326417626E-2</c:v>
                </c:pt>
                <c:pt idx="19">
                  <c:v>-5.6232322379569023E-2</c:v>
                </c:pt>
                <c:pt idx="20">
                  <c:v>5.3548571599048835E-2</c:v>
                </c:pt>
                <c:pt idx="21">
                  <c:v>0.18410551567836442</c:v>
                </c:pt>
                <c:pt idx="22">
                  <c:v>0.19005238818770073</c:v>
                </c:pt>
                <c:pt idx="23">
                  <c:v>0.17248494652460181</c:v>
                </c:pt>
                <c:pt idx="24">
                  <c:v>9.8112815926272665E-3</c:v>
                </c:pt>
              </c:numCache>
            </c:numRef>
          </c:val>
          <c:smooth val="0"/>
          <c:extLst>
            <c:ext xmlns:c16="http://schemas.microsoft.com/office/drawing/2014/chart" uri="{C3380CC4-5D6E-409C-BE32-E72D297353CC}">
              <c16:uniqueId val="{00000000-4105-4148-AC58-0E7E466E5FDE}"/>
            </c:ext>
          </c:extLst>
        </c:ser>
        <c:ser>
          <c:idx val="1"/>
          <c:order val="1"/>
          <c:tx>
            <c:strRef>
              <c:f>'Current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'Current ratio'!$L$24:$AJ$24</c:f>
              <c:numCache>
                <c:formatCode>0.000</c:formatCode>
                <c:ptCount val="25"/>
                <c:pt idx="0" formatCode="General">
                  <c:v>0</c:v>
                </c:pt>
                <c:pt idx="1">
                  <c:v>-7.2581067958700521E-2</c:v>
                </c:pt>
                <c:pt idx="2">
                  <c:v>-3.0351167501957252E-2</c:v>
                </c:pt>
                <c:pt idx="3">
                  <c:v>-3.7620950074446227E-2</c:v>
                </c:pt>
                <c:pt idx="4">
                  <c:v>1.162737384742564E-2</c:v>
                </c:pt>
                <c:pt idx="5">
                  <c:v>-1.7202673802903093E-2</c:v>
                </c:pt>
                <c:pt idx="6">
                  <c:v>-8.5955836154365389E-2</c:v>
                </c:pt>
                <c:pt idx="7">
                  <c:v>-5.088002536208798E-2</c:v>
                </c:pt>
                <c:pt idx="8">
                  <c:v>3.9113957185610629E-2</c:v>
                </c:pt>
                <c:pt idx="9">
                  <c:v>6.2520763233253271E-2</c:v>
                </c:pt>
                <c:pt idx="10">
                  <c:v>0.12566550207446195</c:v>
                </c:pt>
                <c:pt idx="11">
                  <c:v>0.10146647877731903</c:v>
                </c:pt>
                <c:pt idx="12">
                  <c:v>-4.5519794650294987E-3</c:v>
                </c:pt>
                <c:pt idx="13">
                  <c:v>-5.1184470235105528E-2</c:v>
                </c:pt>
                <c:pt idx="14">
                  <c:v>8.6813540802876774E-2</c:v>
                </c:pt>
                <c:pt idx="15">
                  <c:v>-4.200460915837171E-2</c:v>
                </c:pt>
                <c:pt idx="16">
                  <c:v>-3.6580954484640625E-2</c:v>
                </c:pt>
                <c:pt idx="17">
                  <c:v>-8.5430410333180537E-2</c:v>
                </c:pt>
                <c:pt idx="18">
                  <c:v>-8.5231454919682162E-2</c:v>
                </c:pt>
                <c:pt idx="19">
                  <c:v>-0.1286192966285091</c:v>
                </c:pt>
                <c:pt idx="20">
                  <c:v>-1.8630772622917718E-2</c:v>
                </c:pt>
                <c:pt idx="21">
                  <c:v>6.7189297979502294E-2</c:v>
                </c:pt>
                <c:pt idx="22">
                  <c:v>4.3537669856022032E-2</c:v>
                </c:pt>
                <c:pt idx="23">
                  <c:v>4.6382751888101793E-2</c:v>
                </c:pt>
                <c:pt idx="24">
                  <c:v>-4.5992324293599153E-2</c:v>
                </c:pt>
              </c:numCache>
            </c:numRef>
          </c:val>
          <c:smooth val="0"/>
          <c:extLst>
            <c:ext xmlns:c16="http://schemas.microsoft.com/office/drawing/2014/chart" uri="{C3380CC4-5D6E-409C-BE32-E72D297353CC}">
              <c16:uniqueId val="{00000001-4105-4148-AC58-0E7E466E5FDE}"/>
            </c:ext>
          </c:extLst>
        </c:ser>
        <c:ser>
          <c:idx val="2"/>
          <c:order val="2"/>
          <c:tx>
            <c:strRef>
              <c:f>'Current ratio'!$J$97:$K$97</c:f>
              <c:strCache>
                <c:ptCount val="2"/>
                <c:pt idx="0">
                  <c:v>Industry average</c:v>
                </c:pt>
              </c:strCache>
            </c:strRef>
          </c:tx>
          <c:spPr>
            <a:ln w="28575">
              <a:solidFill>
                <a:schemeClr val="accent6"/>
              </a:solidFill>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'Current ratio'!$L$102:$AJ$102</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4105-4148-AC58-0E7E466E5FDE}"/>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layout>
            <c:manualLayout>
              <c:xMode val="edge"/>
              <c:yMode val="edge"/>
              <c:x val="2.4237502496732049E-2"/>
              <c:y val="0.35980383559311213"/>
            </c:manualLayout>
          </c:layout>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3304272650600097"/>
          <c:y val="0.11379476809774164"/>
          <c:w val="8.5423366014356586E-2"/>
          <c:h val="0.1207494093356889"/>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Acid-test ratio</a:t>
            </a:r>
            <a:r>
              <a:rPr lang="ko-KR" altLang="ko-KR" sz="3000">
                <a:effectLst/>
              </a:rPr>
              <a:t> </a:t>
            </a:r>
          </a:p>
        </c:rich>
      </c:tx>
      <c:overlay val="0"/>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'Acid-test ratio'!$J$2:$K$2</c:f>
              <c:strCache>
                <c:ptCount val="2"/>
                <c:pt idx="0">
                  <c:v>GOOD</c:v>
                </c:pt>
              </c:strCache>
            </c:strRef>
          </c:tx>
          <c:spPr>
            <a:ln w="28575" cap="rnd" cmpd="sng">
              <a:solidFill>
                <a:srgbClr val="FF0000"/>
              </a:solidFill>
              <a:round/>
            </a:ln>
            <a:effectLst/>
          </c:spPr>
          <c:marker>
            <c:symbol val="none"/>
          </c:marker>
          <c:cat>
            <c:strRef>
              <c:f>'Acid-test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'Acid-test ratio'!$L$11:$AJ$11</c:f>
              <c:numCache>
                <c:formatCode>0.000_);[Red]\(0.000\)</c:formatCode>
                <c:ptCount val="25"/>
                <c:pt idx="0" formatCode="General">
                  <c:v>0</c:v>
                </c:pt>
                <c:pt idx="1">
                  <c:v>-1.1183813057945358E-2</c:v>
                </c:pt>
                <c:pt idx="2">
                  <c:v>1.6697244136642891E-2</c:v>
                </c:pt>
                <c:pt idx="3">
                  <c:v>1.1341756845497514E-3</c:v>
                </c:pt>
                <c:pt idx="4">
                  <c:v>3.7938305308813924E-3</c:v>
                </c:pt>
                <c:pt idx="5">
                  <c:v>-1.3057992549222908E-2</c:v>
                </c:pt>
                <c:pt idx="6">
                  <c:v>-6.9853766217613661E-2</c:v>
                </c:pt>
                <c:pt idx="7">
                  <c:v>-4.8435302873434116E-2</c:v>
                </c:pt>
                <c:pt idx="8">
                  <c:v>6.2895723395943973E-2</c:v>
                </c:pt>
                <c:pt idx="9">
                  <c:v>9.1526172290554236E-2</c:v>
                </c:pt>
                <c:pt idx="10">
                  <c:v>0.11192758378791259</c:v>
                </c:pt>
                <c:pt idx="11">
                  <c:v>0.12332570101188514</c:v>
                </c:pt>
                <c:pt idx="12">
                  <c:v>-1.190652343679259E-2</c:v>
                </c:pt>
                <c:pt idx="13">
                  <c:v>-7.1431753155843727E-2</c:v>
                </c:pt>
                <c:pt idx="14">
                  <c:v>3.7440119455159543E-2</c:v>
                </c:pt>
                <c:pt idx="15">
                  <c:v>-2.4578678530428371E-2</c:v>
                </c:pt>
                <c:pt idx="16">
                  <c:v>-8.7081840834186495E-3</c:v>
                </c:pt>
                <c:pt idx="17">
                  <c:v>5.7203069217415248E-5</c:v>
                </c:pt>
                <c:pt idx="18">
                  <c:v>-3.578914326417626E-2</c:v>
                </c:pt>
                <c:pt idx="19">
                  <c:v>-5.6232322379569023E-2</c:v>
                </c:pt>
                <c:pt idx="20">
                  <c:v>5.3548571599048835E-2</c:v>
                </c:pt>
                <c:pt idx="21">
                  <c:v>0.18410551567836442</c:v>
                </c:pt>
                <c:pt idx="22">
                  <c:v>0.19005238818770073</c:v>
                </c:pt>
                <c:pt idx="23">
                  <c:v>0.17248494652460181</c:v>
                </c:pt>
                <c:pt idx="24">
                  <c:v>9.8112815926272301E-3</c:v>
                </c:pt>
              </c:numCache>
            </c:numRef>
          </c:val>
          <c:smooth val="0"/>
          <c:extLst>
            <c:ext xmlns:c16="http://schemas.microsoft.com/office/drawing/2014/chart" uri="{C3380CC4-5D6E-409C-BE32-E72D297353CC}">
              <c16:uniqueId val="{00000000-BAB0-8548-8BAD-24B6D3A2F802}"/>
            </c:ext>
          </c:extLst>
        </c:ser>
        <c:ser>
          <c:idx val="1"/>
          <c:order val="1"/>
          <c:tx>
            <c:strRef>
              <c:f>'Acid-test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'Acid-test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'Acid-test ratio'!$L$24:$AJ$24</c:f>
              <c:numCache>
                <c:formatCode>0.000_);[Red]\(0.000\)</c:formatCode>
                <c:ptCount val="25"/>
                <c:pt idx="0" formatCode="General">
                  <c:v>0</c:v>
                </c:pt>
                <c:pt idx="1">
                  <c:v>-4.0519565785594638E-2</c:v>
                </c:pt>
                <c:pt idx="2">
                  <c:v>-1.0945004180490464E-2</c:v>
                </c:pt>
                <c:pt idx="3">
                  <c:v>-8.3691973935542674E-3</c:v>
                </c:pt>
                <c:pt idx="4">
                  <c:v>2.1612740873000594E-2</c:v>
                </c:pt>
                <c:pt idx="5">
                  <c:v>8.0616213913878298E-5</c:v>
                </c:pt>
                <c:pt idx="6">
                  <c:v>-7.9940618952976356E-2</c:v>
                </c:pt>
                <c:pt idx="7">
                  <c:v>-6.4864201903143126E-3</c:v>
                </c:pt>
                <c:pt idx="8">
                  <c:v>7.4246745968452946E-2</c:v>
                </c:pt>
                <c:pt idx="9">
                  <c:v>0.10849915229565087</c:v>
                </c:pt>
                <c:pt idx="10">
                  <c:v>0.14960788746769585</c:v>
                </c:pt>
                <c:pt idx="11">
                  <c:v>0.12844411435073505</c:v>
                </c:pt>
                <c:pt idx="12">
                  <c:v>2.1028698456651326E-2</c:v>
                </c:pt>
                <c:pt idx="13">
                  <c:v>-1.6991085649961282E-2</c:v>
                </c:pt>
                <c:pt idx="14">
                  <c:v>8.6022104368954452E-2</c:v>
                </c:pt>
                <c:pt idx="15">
                  <c:v>-4.200460915837171E-2</c:v>
                </c:pt>
                <c:pt idx="16">
                  <c:v>-3.6580954484640625E-2</c:v>
                </c:pt>
                <c:pt idx="17">
                  <c:v>-8.5430410333180537E-2</c:v>
                </c:pt>
                <c:pt idx="18">
                  <c:v>-8.5231454919682162E-2</c:v>
                </c:pt>
                <c:pt idx="19">
                  <c:v>-0.1286192966285091</c:v>
                </c:pt>
                <c:pt idx="20">
                  <c:v>-1.8630772622917718E-2</c:v>
                </c:pt>
                <c:pt idx="21">
                  <c:v>6.7189297979502294E-2</c:v>
                </c:pt>
                <c:pt idx="22">
                  <c:v>4.3537669856022032E-2</c:v>
                </c:pt>
                <c:pt idx="23">
                  <c:v>4.6382751888101793E-2</c:v>
                </c:pt>
                <c:pt idx="24">
                  <c:v>-4.5992324293599153E-2</c:v>
                </c:pt>
              </c:numCache>
            </c:numRef>
          </c:val>
          <c:smooth val="0"/>
          <c:extLst>
            <c:ext xmlns:c16="http://schemas.microsoft.com/office/drawing/2014/chart" uri="{C3380CC4-5D6E-409C-BE32-E72D297353CC}">
              <c16:uniqueId val="{00000001-BAB0-8548-8BAD-24B6D3A2F802}"/>
            </c:ext>
          </c:extLst>
        </c:ser>
        <c:ser>
          <c:idx val="2"/>
          <c:order val="2"/>
          <c:tx>
            <c:strRef>
              <c:f>'Acid-test ratio'!$J$26:$K$26</c:f>
              <c:strCache>
                <c:ptCount val="2"/>
                <c:pt idx="0">
                  <c:v>S&amp;P 500</c:v>
                </c:pt>
              </c:strCache>
            </c:strRef>
          </c:tx>
          <c:spPr>
            <a:ln w="28575">
              <a:solidFill>
                <a:schemeClr val="accent4"/>
              </a:solidFill>
            </a:ln>
          </c:spPr>
          <c:marker>
            <c:symbol val="none"/>
          </c:marker>
          <c:val>
            <c:numRef>
              <c:f>'Acid-test ratio'!$L$31:$AJ$31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0.20531230398190772</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BAB0-8548-8BAD-24B6D3A2F802}"/>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Acid-test ratio</a:t>
            </a:r>
            <a:r>
              <a:rPr lang="ko-KR" altLang="ko-KR" sz="3000">
                <a:effectLst/>
              </a:rPr>
              <a:t> </a:t>
            </a:r>
          </a:p>
        </c:rich>
      </c:tx>
      <c:overlay val="0"/>
      <c:spPr>
        <a:noFill/>
        <a:ln>
          <a:noFill/>
        </a:ln>
        <a:effectLst/>
      </c:spPr>
    </c:title>
    <c:autoTitleDeleted val="0"/>
    <c:plotArea>
      <c:layout>
        <c:manualLayout>
          <c:layoutTarget val="inner"/>
          <c:xMode val="edge"/>
          <c:yMode val="edge"/>
          <c:x val="0.12851648862855952"/>
          <c:y val="0.12736631130547166"/>
          <c:w val="0.73197923430302936"/>
          <c:h val="0.73600796748814845"/>
        </c:manualLayout>
      </c:layout>
      <c:lineChart>
        <c:grouping val="standard"/>
        <c:varyColors val="0"/>
        <c:ser>
          <c:idx val="0"/>
          <c:order val="0"/>
          <c:tx>
            <c:strRef>
              <c:f>'Acid-test ratio'!$J$2:$K$2</c:f>
              <c:strCache>
                <c:ptCount val="2"/>
                <c:pt idx="0">
                  <c:v>GOOD</c:v>
                </c:pt>
              </c:strCache>
            </c:strRef>
          </c:tx>
          <c:spPr>
            <a:ln w="28575" cap="rnd" cmpd="sng">
              <a:solidFill>
                <a:srgbClr val="FF0000"/>
              </a:solidFill>
              <a:round/>
            </a:ln>
            <a:effectLst/>
          </c:spPr>
          <c:marker>
            <c:symbol val="none"/>
          </c:marker>
          <c:cat>
            <c:strRef>
              <c:f>'Acid-test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'Acid-test ratio'!$L$11:$AJ$11</c:f>
              <c:numCache>
                <c:formatCode>0.000_);[Red]\(0.000\)</c:formatCode>
                <c:ptCount val="25"/>
                <c:pt idx="0" formatCode="General">
                  <c:v>0</c:v>
                </c:pt>
                <c:pt idx="1">
                  <c:v>-1.1183813057945358E-2</c:v>
                </c:pt>
                <c:pt idx="2">
                  <c:v>1.6697244136642891E-2</c:v>
                </c:pt>
                <c:pt idx="3">
                  <c:v>1.1341756845497514E-3</c:v>
                </c:pt>
                <c:pt idx="4">
                  <c:v>3.7938305308813924E-3</c:v>
                </c:pt>
                <c:pt idx="5">
                  <c:v>-1.3057992549222908E-2</c:v>
                </c:pt>
                <c:pt idx="6">
                  <c:v>-6.9853766217613661E-2</c:v>
                </c:pt>
                <c:pt idx="7">
                  <c:v>-4.8435302873434116E-2</c:v>
                </c:pt>
                <c:pt idx="8">
                  <c:v>6.2895723395943973E-2</c:v>
                </c:pt>
                <c:pt idx="9">
                  <c:v>9.1526172290554236E-2</c:v>
                </c:pt>
                <c:pt idx="10">
                  <c:v>0.11192758378791259</c:v>
                </c:pt>
                <c:pt idx="11">
                  <c:v>0.12332570101188514</c:v>
                </c:pt>
                <c:pt idx="12">
                  <c:v>-1.190652343679259E-2</c:v>
                </c:pt>
                <c:pt idx="13">
                  <c:v>-7.1431753155843727E-2</c:v>
                </c:pt>
                <c:pt idx="14">
                  <c:v>3.7440119455159543E-2</c:v>
                </c:pt>
                <c:pt idx="15">
                  <c:v>-2.4578678530428371E-2</c:v>
                </c:pt>
                <c:pt idx="16">
                  <c:v>-8.7081840834186495E-3</c:v>
                </c:pt>
                <c:pt idx="17">
                  <c:v>5.7203069217415248E-5</c:v>
                </c:pt>
                <c:pt idx="18">
                  <c:v>-3.578914326417626E-2</c:v>
                </c:pt>
                <c:pt idx="19">
                  <c:v>-5.6232322379569023E-2</c:v>
                </c:pt>
                <c:pt idx="20">
                  <c:v>5.3548571599048835E-2</c:v>
                </c:pt>
                <c:pt idx="21">
                  <c:v>0.18410551567836442</c:v>
                </c:pt>
                <c:pt idx="22">
                  <c:v>0.19005238818770073</c:v>
                </c:pt>
                <c:pt idx="23">
                  <c:v>0.17248494652460181</c:v>
                </c:pt>
                <c:pt idx="24">
                  <c:v>9.8112815926272301E-3</c:v>
                </c:pt>
              </c:numCache>
            </c:numRef>
          </c:val>
          <c:smooth val="0"/>
          <c:extLst>
            <c:ext xmlns:c16="http://schemas.microsoft.com/office/drawing/2014/chart" uri="{C3380CC4-5D6E-409C-BE32-E72D297353CC}">
              <c16:uniqueId val="{00000000-0AD5-B649-B4BE-F681D971C524}"/>
            </c:ext>
          </c:extLst>
        </c:ser>
        <c:ser>
          <c:idx val="1"/>
          <c:order val="1"/>
          <c:tx>
            <c:strRef>
              <c:f>'Acid-test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'Acid-test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'Acid-test ratio'!$L$24:$AJ$24</c:f>
              <c:numCache>
                <c:formatCode>0.000_);[Red]\(0.000\)</c:formatCode>
                <c:ptCount val="25"/>
                <c:pt idx="0" formatCode="General">
                  <c:v>0</c:v>
                </c:pt>
                <c:pt idx="1">
                  <c:v>-4.0519565785594638E-2</c:v>
                </c:pt>
                <c:pt idx="2">
                  <c:v>-1.0945004180490464E-2</c:v>
                </c:pt>
                <c:pt idx="3">
                  <c:v>-8.3691973935542674E-3</c:v>
                </c:pt>
                <c:pt idx="4">
                  <c:v>2.1612740873000594E-2</c:v>
                </c:pt>
                <c:pt idx="5">
                  <c:v>8.0616213913878298E-5</c:v>
                </c:pt>
                <c:pt idx="6">
                  <c:v>-7.9940618952976356E-2</c:v>
                </c:pt>
                <c:pt idx="7">
                  <c:v>-6.4864201903143126E-3</c:v>
                </c:pt>
                <c:pt idx="8">
                  <c:v>7.4246745968452946E-2</c:v>
                </c:pt>
                <c:pt idx="9">
                  <c:v>0.10849915229565087</c:v>
                </c:pt>
                <c:pt idx="10">
                  <c:v>0.14960788746769585</c:v>
                </c:pt>
                <c:pt idx="11">
                  <c:v>0.12844411435073505</c:v>
                </c:pt>
                <c:pt idx="12">
                  <c:v>2.1028698456651326E-2</c:v>
                </c:pt>
                <c:pt idx="13">
                  <c:v>-1.6991085649961282E-2</c:v>
                </c:pt>
                <c:pt idx="14">
                  <c:v>8.6022104368954452E-2</c:v>
                </c:pt>
                <c:pt idx="15">
                  <c:v>-4.200460915837171E-2</c:v>
                </c:pt>
                <c:pt idx="16">
                  <c:v>-3.6580954484640625E-2</c:v>
                </c:pt>
                <c:pt idx="17">
                  <c:v>-8.5430410333180537E-2</c:v>
                </c:pt>
                <c:pt idx="18">
                  <c:v>-8.5231454919682162E-2</c:v>
                </c:pt>
                <c:pt idx="19">
                  <c:v>-0.1286192966285091</c:v>
                </c:pt>
                <c:pt idx="20">
                  <c:v>-1.8630772622917718E-2</c:v>
                </c:pt>
                <c:pt idx="21">
                  <c:v>6.7189297979502294E-2</c:v>
                </c:pt>
                <c:pt idx="22">
                  <c:v>4.3537669856022032E-2</c:v>
                </c:pt>
                <c:pt idx="23">
                  <c:v>4.6382751888101793E-2</c:v>
                </c:pt>
                <c:pt idx="24">
                  <c:v>-4.5992324293599153E-2</c:v>
                </c:pt>
              </c:numCache>
            </c:numRef>
          </c:val>
          <c:smooth val="0"/>
          <c:extLst>
            <c:ext xmlns:c16="http://schemas.microsoft.com/office/drawing/2014/chart" uri="{C3380CC4-5D6E-409C-BE32-E72D297353CC}">
              <c16:uniqueId val="{00000001-0AD5-B649-B4BE-F681D971C524}"/>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Acid-test ratio</a:t>
            </a:r>
            <a:r>
              <a:rPr lang="ko-KR" altLang="ko-KR" sz="3000">
                <a:effectLst/>
              </a:rPr>
              <a:t> </a:t>
            </a:r>
          </a:p>
        </c:rich>
      </c:tx>
      <c:overlay val="0"/>
      <c:spPr>
        <a:noFill/>
        <a:ln>
          <a:noFill/>
        </a:ln>
        <a:effectLst/>
      </c:spPr>
    </c:title>
    <c:autoTitleDeleted val="0"/>
    <c:plotArea>
      <c:layout>
        <c:manualLayout>
          <c:layoutTarget val="inner"/>
          <c:xMode val="edge"/>
          <c:yMode val="edge"/>
          <c:x val="7.4215358904930945E-2"/>
          <c:y val="0.12736628151656074"/>
          <c:w val="0.73197923430302936"/>
          <c:h val="0.73600796748814845"/>
        </c:manualLayout>
      </c:layout>
      <c:lineChart>
        <c:grouping val="standard"/>
        <c:varyColors val="0"/>
        <c:ser>
          <c:idx val="0"/>
          <c:order val="0"/>
          <c:tx>
            <c:strRef>
              <c:f>'Acid-test ratio'!$J$2:$K$2</c:f>
              <c:strCache>
                <c:ptCount val="2"/>
                <c:pt idx="0">
                  <c:v>GOOD</c:v>
                </c:pt>
              </c:strCache>
            </c:strRef>
          </c:tx>
          <c:spPr>
            <a:ln w="28575" cap="rnd" cmpd="sng">
              <a:solidFill>
                <a:srgbClr val="FF0000"/>
              </a:solidFill>
              <a:round/>
            </a:ln>
            <a:effectLst/>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'Acid-test ratio'!$L$11:$AJ$11</c:f>
              <c:numCache>
                <c:formatCode>0.000_);[Red]\(0.000\)</c:formatCode>
                <c:ptCount val="25"/>
                <c:pt idx="0" formatCode="General">
                  <c:v>0</c:v>
                </c:pt>
                <c:pt idx="1">
                  <c:v>-1.1183813057945358E-2</c:v>
                </c:pt>
                <c:pt idx="2">
                  <c:v>1.6697244136642891E-2</c:v>
                </c:pt>
                <c:pt idx="3">
                  <c:v>1.1341756845497514E-3</c:v>
                </c:pt>
                <c:pt idx="4">
                  <c:v>3.7938305308813924E-3</c:v>
                </c:pt>
                <c:pt idx="5">
                  <c:v>-1.3057992549222908E-2</c:v>
                </c:pt>
                <c:pt idx="6">
                  <c:v>-6.9853766217613661E-2</c:v>
                </c:pt>
                <c:pt idx="7">
                  <c:v>-4.8435302873434116E-2</c:v>
                </c:pt>
                <c:pt idx="8">
                  <c:v>6.2895723395943973E-2</c:v>
                </c:pt>
                <c:pt idx="9">
                  <c:v>9.1526172290554236E-2</c:v>
                </c:pt>
                <c:pt idx="10">
                  <c:v>0.11192758378791259</c:v>
                </c:pt>
                <c:pt idx="11">
                  <c:v>0.12332570101188514</c:v>
                </c:pt>
                <c:pt idx="12">
                  <c:v>-1.190652343679259E-2</c:v>
                </c:pt>
                <c:pt idx="13">
                  <c:v>-7.1431753155843727E-2</c:v>
                </c:pt>
                <c:pt idx="14">
                  <c:v>3.7440119455159543E-2</c:v>
                </c:pt>
                <c:pt idx="15">
                  <c:v>-2.4578678530428371E-2</c:v>
                </c:pt>
                <c:pt idx="16">
                  <c:v>-8.7081840834186495E-3</c:v>
                </c:pt>
                <c:pt idx="17">
                  <c:v>5.7203069217415248E-5</c:v>
                </c:pt>
                <c:pt idx="18">
                  <c:v>-3.578914326417626E-2</c:v>
                </c:pt>
                <c:pt idx="19">
                  <c:v>-5.6232322379569023E-2</c:v>
                </c:pt>
                <c:pt idx="20">
                  <c:v>5.3548571599048835E-2</c:v>
                </c:pt>
                <c:pt idx="21">
                  <c:v>0.18410551567836442</c:v>
                </c:pt>
                <c:pt idx="22">
                  <c:v>0.19005238818770073</c:v>
                </c:pt>
                <c:pt idx="23">
                  <c:v>0.17248494652460181</c:v>
                </c:pt>
                <c:pt idx="24">
                  <c:v>9.8112815926272301E-3</c:v>
                </c:pt>
              </c:numCache>
            </c:numRef>
          </c:val>
          <c:smooth val="0"/>
          <c:extLst>
            <c:ext xmlns:c16="http://schemas.microsoft.com/office/drawing/2014/chart" uri="{C3380CC4-5D6E-409C-BE32-E72D297353CC}">
              <c16:uniqueId val="{00000000-831B-5248-B33C-593098EA1172}"/>
            </c:ext>
          </c:extLst>
        </c:ser>
        <c:ser>
          <c:idx val="1"/>
          <c:order val="1"/>
          <c:tx>
            <c:strRef>
              <c:f>'Acid-test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'Acid-test ratio'!$L$24:$AJ$24</c:f>
              <c:numCache>
                <c:formatCode>0.000_);[Red]\(0.000\)</c:formatCode>
                <c:ptCount val="25"/>
                <c:pt idx="0" formatCode="General">
                  <c:v>0</c:v>
                </c:pt>
                <c:pt idx="1">
                  <c:v>-4.0519565785594638E-2</c:v>
                </c:pt>
                <c:pt idx="2">
                  <c:v>-1.0945004180490464E-2</c:v>
                </c:pt>
                <c:pt idx="3">
                  <c:v>-8.3691973935542674E-3</c:v>
                </c:pt>
                <c:pt idx="4">
                  <c:v>2.1612740873000594E-2</c:v>
                </c:pt>
                <c:pt idx="5">
                  <c:v>8.0616213913878298E-5</c:v>
                </c:pt>
                <c:pt idx="6">
                  <c:v>-7.9940618952976356E-2</c:v>
                </c:pt>
                <c:pt idx="7">
                  <c:v>-6.4864201903143126E-3</c:v>
                </c:pt>
                <c:pt idx="8">
                  <c:v>7.4246745968452946E-2</c:v>
                </c:pt>
                <c:pt idx="9">
                  <c:v>0.10849915229565087</c:v>
                </c:pt>
                <c:pt idx="10">
                  <c:v>0.14960788746769585</c:v>
                </c:pt>
                <c:pt idx="11">
                  <c:v>0.12844411435073505</c:v>
                </c:pt>
                <c:pt idx="12">
                  <c:v>2.1028698456651326E-2</c:v>
                </c:pt>
                <c:pt idx="13">
                  <c:v>-1.6991085649961282E-2</c:v>
                </c:pt>
                <c:pt idx="14">
                  <c:v>8.6022104368954452E-2</c:v>
                </c:pt>
                <c:pt idx="15">
                  <c:v>-4.200460915837171E-2</c:v>
                </c:pt>
                <c:pt idx="16">
                  <c:v>-3.6580954484640625E-2</c:v>
                </c:pt>
                <c:pt idx="17">
                  <c:v>-8.5430410333180537E-2</c:v>
                </c:pt>
                <c:pt idx="18">
                  <c:v>-8.5231454919682162E-2</c:v>
                </c:pt>
                <c:pt idx="19">
                  <c:v>-0.1286192966285091</c:v>
                </c:pt>
                <c:pt idx="20">
                  <c:v>-1.8630772622917718E-2</c:v>
                </c:pt>
                <c:pt idx="21">
                  <c:v>6.7189297979502294E-2</c:v>
                </c:pt>
                <c:pt idx="22">
                  <c:v>4.3537669856022032E-2</c:v>
                </c:pt>
                <c:pt idx="23">
                  <c:v>4.6382751888101793E-2</c:v>
                </c:pt>
                <c:pt idx="24">
                  <c:v>-4.5992324293599153E-2</c:v>
                </c:pt>
              </c:numCache>
            </c:numRef>
          </c:val>
          <c:smooth val="0"/>
          <c:extLst>
            <c:ext xmlns:c16="http://schemas.microsoft.com/office/drawing/2014/chart" uri="{C3380CC4-5D6E-409C-BE32-E72D297353CC}">
              <c16:uniqueId val="{00000001-831B-5248-B33C-593098EA1172}"/>
            </c:ext>
          </c:extLst>
        </c:ser>
        <c:ser>
          <c:idx val="2"/>
          <c:order val="2"/>
          <c:tx>
            <c:strRef>
              <c:f>'Acid-test ratio'!$J$68:$K$68</c:f>
              <c:strCache>
                <c:ptCount val="2"/>
                <c:pt idx="0">
                  <c:v>Industry average</c:v>
                </c:pt>
              </c:strCache>
            </c:strRef>
          </c:tx>
          <c:spPr>
            <a:ln w="28575">
              <a:solidFill>
                <a:schemeClr val="accent6"/>
              </a:solidFill>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'Acid-test ratio'!$L$73:$AJ$73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831B-5248-B33C-593098EA1172}"/>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Accounts receivable turnover</a:t>
            </a:r>
            <a:r>
              <a:rPr lang="ko-KR" altLang="ko-KR" sz="3000">
                <a:effectLst/>
              </a:rPr>
              <a:t> </a:t>
            </a:r>
          </a:p>
        </c:rich>
      </c:tx>
      <c:overlay val="0"/>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'Accounts receivable turnover'!$J$2:$K$2</c:f>
              <c:strCache>
                <c:ptCount val="2"/>
                <c:pt idx="0">
                  <c:v>GOOD</c:v>
                </c:pt>
              </c:strCache>
            </c:strRef>
          </c:tx>
          <c:spPr>
            <a:ln w="28575" cap="rnd" cmpd="sng">
              <a:solidFill>
                <a:srgbClr val="FF0000"/>
              </a:solidFill>
              <a:round/>
            </a:ln>
            <a:effectLst/>
          </c:spPr>
          <c:marker>
            <c:symbol val="none"/>
          </c:marker>
          <c:cat>
            <c:strRef>
              <c:f>'Accounts receivable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'Accounts receivable turnover'!$L$11:$AJ$11</c:f>
              <c:numCache>
                <c:formatCode>0.000_);[Red]\(0.000\)</c:formatCode>
                <c:ptCount val="25"/>
                <c:pt idx="0" formatCode="General">
                  <c:v>0</c:v>
                </c:pt>
                <c:pt idx="1">
                  <c:v>-0.13850921749063869</c:v>
                </c:pt>
                <c:pt idx="2">
                  <c:v>-0.11299488002658536</c:v>
                </c:pt>
                <c:pt idx="3">
                  <c:v>-0.12154246287262915</c:v>
                </c:pt>
                <c:pt idx="4">
                  <c:v>-9.7297090976906642E-2</c:v>
                </c:pt>
                <c:pt idx="5">
                  <c:v>-0.15740065805957182</c:v>
                </c:pt>
                <c:pt idx="6">
                  <c:v>-0.20893450162208396</c:v>
                </c:pt>
                <c:pt idx="7">
                  <c:v>-0.18583706480582574</c:v>
                </c:pt>
                <c:pt idx="8">
                  <c:v>-0.10594895041052546</c:v>
                </c:pt>
                <c:pt idx="9">
                  <c:v>-2.797983207758431E-2</c:v>
                </c:pt>
                <c:pt idx="10">
                  <c:v>4.977466622231394E-2</c:v>
                </c:pt>
                <c:pt idx="11">
                  <c:v>9.4802630249995135E-2</c:v>
                </c:pt>
                <c:pt idx="12">
                  <c:v>-9.2336180142793101E-2</c:v>
                </c:pt>
                <c:pt idx="13">
                  <c:v>-0.19908348903913997</c:v>
                </c:pt>
                <c:pt idx="14">
                  <c:v>-8.0618206111055579E-2</c:v>
                </c:pt>
                <c:pt idx="15">
                  <c:v>-0.27024250889672546</c:v>
                </c:pt>
                <c:pt idx="16">
                  <c:v>-0.26774114762279594</c:v>
                </c:pt>
                <c:pt idx="17">
                  <c:v>-0.31974935022224649</c:v>
                </c:pt>
                <c:pt idx="18">
                  <c:v>-0.35299863132361686</c:v>
                </c:pt>
                <c:pt idx="19">
                  <c:v>-0.43363160900530434</c:v>
                </c:pt>
                <c:pt idx="20">
                  <c:v>-0.39791114348474282</c:v>
                </c:pt>
                <c:pt idx="21">
                  <c:v>-0.26563679351472602</c:v>
                </c:pt>
                <c:pt idx="22">
                  <c:v>-0.28332151958166835</c:v>
                </c:pt>
                <c:pt idx="23">
                  <c:v>-0.26315983035715923</c:v>
                </c:pt>
                <c:pt idx="24">
                  <c:v>-0.39898707269052669</c:v>
                </c:pt>
              </c:numCache>
            </c:numRef>
          </c:val>
          <c:smooth val="0"/>
          <c:extLst>
            <c:ext xmlns:c16="http://schemas.microsoft.com/office/drawing/2014/chart" uri="{C3380CC4-5D6E-409C-BE32-E72D297353CC}">
              <c16:uniqueId val="{00000000-6648-7F4D-8DA7-C07343349642}"/>
            </c:ext>
          </c:extLst>
        </c:ser>
        <c:ser>
          <c:idx val="1"/>
          <c:order val="1"/>
          <c:tx>
            <c:strRef>
              <c:f>'Accounts receivable turnover'!$J$15:$K$15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'Accounts receivable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'Accounts receivable turnover'!$L$24:$AJ$24</c:f>
              <c:numCache>
                <c:formatCode>0.000_);[Red]\(0.000\)</c:formatCode>
                <c:ptCount val="25"/>
                <c:pt idx="0" formatCode="General">
                  <c:v>0</c:v>
                </c:pt>
                <c:pt idx="1">
                  <c:v>-4.9034052025209815E-2</c:v>
                </c:pt>
                <c:pt idx="2">
                  <c:v>-1.2968749438309612E-2</c:v>
                </c:pt>
                <c:pt idx="3">
                  <c:v>5.0624366475367916E-3</c:v>
                </c:pt>
                <c:pt idx="4">
                  <c:v>-3.5434365604432028E-3</c:v>
                </c:pt>
                <c:pt idx="5">
                  <c:v>9.4963272045378994E-3</c:v>
                </c:pt>
                <c:pt idx="6">
                  <c:v>-4.8006248239060398E-2</c:v>
                </c:pt>
                <c:pt idx="7">
                  <c:v>-4.2311768227539209E-2</c:v>
                </c:pt>
                <c:pt idx="8">
                  <c:v>7.0278669697453874E-2</c:v>
                </c:pt>
                <c:pt idx="9">
                  <c:v>0.10512118838045981</c:v>
                </c:pt>
                <c:pt idx="10">
                  <c:v>0.14964721645261087</c:v>
                </c:pt>
                <c:pt idx="11">
                  <c:v>0.15382065374087533</c:v>
                </c:pt>
                <c:pt idx="12">
                  <c:v>6.501618426502187E-2</c:v>
                </c:pt>
                <c:pt idx="13">
                  <c:v>3.5466059239002076E-2</c:v>
                </c:pt>
                <c:pt idx="14">
                  <c:v>0.14548483134388984</c:v>
                </c:pt>
                <c:pt idx="15">
                  <c:v>2.9373310378659756E-2</c:v>
                </c:pt>
                <c:pt idx="16">
                  <c:v>-1.3439487286044882E-2</c:v>
                </c:pt>
                <c:pt idx="17">
                  <c:v>9.2754860792922025E-3</c:v>
                </c:pt>
                <c:pt idx="18">
                  <c:v>-1.2505806353967364E-3</c:v>
                </c:pt>
                <c:pt idx="19">
                  <c:v>-3.5422767836721012E-3</c:v>
                </c:pt>
                <c:pt idx="20">
                  <c:v>0.12029385260410598</c:v>
                </c:pt>
                <c:pt idx="21">
                  <c:v>0.18438273181700482</c:v>
                </c:pt>
                <c:pt idx="22">
                  <c:v>0.22327964001098999</c:v>
                </c:pt>
                <c:pt idx="23">
                  <c:v>0.22108481937750302</c:v>
                </c:pt>
                <c:pt idx="24">
                  <c:v>8.5687783106984231E-2</c:v>
                </c:pt>
              </c:numCache>
            </c:numRef>
          </c:val>
          <c:smooth val="0"/>
          <c:extLst>
            <c:ext xmlns:c16="http://schemas.microsoft.com/office/drawing/2014/chart" uri="{C3380CC4-5D6E-409C-BE32-E72D297353CC}">
              <c16:uniqueId val="{00000001-6648-7F4D-8DA7-C07343349642}"/>
            </c:ext>
          </c:extLst>
        </c:ser>
        <c:ser>
          <c:idx val="2"/>
          <c:order val="2"/>
          <c:tx>
            <c:strRef>
              <c:f>'Accounts receivable turnover'!$J$26:$K$26</c:f>
              <c:strCache>
                <c:ptCount val="2"/>
                <c:pt idx="0">
                  <c:v>S&amp;P 500</c:v>
                </c:pt>
              </c:strCache>
            </c:strRef>
          </c:tx>
          <c:spPr>
            <a:ln w="28575">
              <a:solidFill>
                <a:schemeClr val="accent4"/>
              </a:solidFill>
            </a:ln>
          </c:spPr>
          <c:marker>
            <c:symbol val="none"/>
          </c:marker>
          <c:val>
            <c:numRef>
              <c:f>'Accounts receivable turnover'!$L$31:$AJ$31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0.20531230398190772</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6648-7F4D-8DA7-C07343349642}"/>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Accounts receivable turnover</a:t>
            </a:r>
            <a:r>
              <a:rPr lang="ko-KR" altLang="ko-KR" sz="3000">
                <a:effectLst/>
              </a:rPr>
              <a:t> </a:t>
            </a:r>
          </a:p>
        </c:rich>
      </c:tx>
      <c:overlay val="0"/>
      <c:spPr>
        <a:noFill/>
        <a:ln>
          <a:noFill/>
        </a:ln>
        <a:effectLst/>
      </c:spPr>
    </c:title>
    <c:autoTitleDeleted val="0"/>
    <c:plotArea>
      <c:layout>
        <c:manualLayout>
          <c:layoutTarget val="inner"/>
          <c:xMode val="edge"/>
          <c:yMode val="edge"/>
          <c:x val="0.1418096568463639"/>
          <c:y val="0.12105584046914759"/>
          <c:w val="0.73197923430302936"/>
          <c:h val="0.73600796748814845"/>
        </c:manualLayout>
      </c:layout>
      <c:lineChart>
        <c:grouping val="standard"/>
        <c:varyColors val="0"/>
        <c:ser>
          <c:idx val="0"/>
          <c:order val="0"/>
          <c:tx>
            <c:strRef>
              <c:f>'Accounts receivable turnover'!$J$2:$K$2</c:f>
              <c:strCache>
                <c:ptCount val="2"/>
                <c:pt idx="0">
                  <c:v>GOOD</c:v>
                </c:pt>
              </c:strCache>
            </c:strRef>
          </c:tx>
          <c:spPr>
            <a:ln w="28575" cap="rnd" cmpd="sng">
              <a:solidFill>
                <a:srgbClr val="FF0000"/>
              </a:solidFill>
              <a:round/>
            </a:ln>
            <a:effectLst/>
          </c:spPr>
          <c:marker>
            <c:symbol val="none"/>
          </c:marker>
          <c:cat>
            <c:strRef>
              <c:f>'Accounts receivable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'Accounts receivable turnover'!$L$11:$AJ$11</c:f>
              <c:numCache>
                <c:formatCode>0.000_);[Red]\(0.000\)</c:formatCode>
                <c:ptCount val="25"/>
                <c:pt idx="0" formatCode="General">
                  <c:v>0</c:v>
                </c:pt>
                <c:pt idx="1">
                  <c:v>-0.13850921749063869</c:v>
                </c:pt>
                <c:pt idx="2">
                  <c:v>-0.11299488002658536</c:v>
                </c:pt>
                <c:pt idx="3">
                  <c:v>-0.12154246287262915</c:v>
                </c:pt>
                <c:pt idx="4">
                  <c:v>-9.7297090976906642E-2</c:v>
                </c:pt>
                <c:pt idx="5">
                  <c:v>-0.15740065805957182</c:v>
                </c:pt>
                <c:pt idx="6">
                  <c:v>-0.20893450162208396</c:v>
                </c:pt>
                <c:pt idx="7">
                  <c:v>-0.18583706480582574</c:v>
                </c:pt>
                <c:pt idx="8">
                  <c:v>-0.10594895041052546</c:v>
                </c:pt>
                <c:pt idx="9">
                  <c:v>-2.797983207758431E-2</c:v>
                </c:pt>
                <c:pt idx="10">
                  <c:v>4.977466622231394E-2</c:v>
                </c:pt>
                <c:pt idx="11">
                  <c:v>9.4802630249995135E-2</c:v>
                </c:pt>
                <c:pt idx="12">
                  <c:v>-9.2336180142793101E-2</c:v>
                </c:pt>
                <c:pt idx="13">
                  <c:v>-0.19908348903913997</c:v>
                </c:pt>
                <c:pt idx="14">
                  <c:v>-8.0618206111055579E-2</c:v>
                </c:pt>
                <c:pt idx="15">
                  <c:v>-0.27024250889672546</c:v>
                </c:pt>
                <c:pt idx="16">
                  <c:v>-0.26774114762279594</c:v>
                </c:pt>
                <c:pt idx="17">
                  <c:v>-0.31974935022224649</c:v>
                </c:pt>
                <c:pt idx="18">
                  <c:v>-0.35299863132361686</c:v>
                </c:pt>
                <c:pt idx="19">
                  <c:v>-0.43363160900530434</c:v>
                </c:pt>
                <c:pt idx="20">
                  <c:v>-0.39791114348474282</c:v>
                </c:pt>
                <c:pt idx="21">
                  <c:v>-0.26563679351472602</c:v>
                </c:pt>
                <c:pt idx="22">
                  <c:v>-0.28332151958166835</c:v>
                </c:pt>
                <c:pt idx="23">
                  <c:v>-0.26315983035715923</c:v>
                </c:pt>
                <c:pt idx="24">
                  <c:v>-0.39898707269052669</c:v>
                </c:pt>
              </c:numCache>
            </c:numRef>
          </c:val>
          <c:smooth val="0"/>
          <c:extLst>
            <c:ext xmlns:c16="http://schemas.microsoft.com/office/drawing/2014/chart" uri="{C3380CC4-5D6E-409C-BE32-E72D297353CC}">
              <c16:uniqueId val="{00000000-EB43-3346-B008-05BD9A16E961}"/>
            </c:ext>
          </c:extLst>
        </c:ser>
        <c:ser>
          <c:idx val="1"/>
          <c:order val="1"/>
          <c:tx>
            <c:strRef>
              <c:f>'Accounts receivable turnover'!$J$15:$K$15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'Accounts receivable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'Accounts receivable turnover'!$L$24:$AJ$24</c:f>
              <c:numCache>
                <c:formatCode>0.000_);[Red]\(0.000\)</c:formatCode>
                <c:ptCount val="25"/>
                <c:pt idx="0" formatCode="General">
                  <c:v>0</c:v>
                </c:pt>
                <c:pt idx="1">
                  <c:v>-4.9034052025209815E-2</c:v>
                </c:pt>
                <c:pt idx="2">
                  <c:v>-1.2968749438309612E-2</c:v>
                </c:pt>
                <c:pt idx="3">
                  <c:v>5.0624366475367916E-3</c:v>
                </c:pt>
                <c:pt idx="4">
                  <c:v>-3.5434365604432028E-3</c:v>
                </c:pt>
                <c:pt idx="5">
                  <c:v>9.4963272045378994E-3</c:v>
                </c:pt>
                <c:pt idx="6">
                  <c:v>-4.8006248239060398E-2</c:v>
                </c:pt>
                <c:pt idx="7">
                  <c:v>-4.2311768227539209E-2</c:v>
                </c:pt>
                <c:pt idx="8">
                  <c:v>7.0278669697453874E-2</c:v>
                </c:pt>
                <c:pt idx="9">
                  <c:v>0.10512118838045981</c:v>
                </c:pt>
                <c:pt idx="10">
                  <c:v>0.14964721645261087</c:v>
                </c:pt>
                <c:pt idx="11">
                  <c:v>0.15382065374087533</c:v>
                </c:pt>
                <c:pt idx="12">
                  <c:v>6.501618426502187E-2</c:v>
                </c:pt>
                <c:pt idx="13">
                  <c:v>3.5466059239002076E-2</c:v>
                </c:pt>
                <c:pt idx="14">
                  <c:v>0.14548483134388984</c:v>
                </c:pt>
                <c:pt idx="15">
                  <c:v>2.9373310378659756E-2</c:v>
                </c:pt>
                <c:pt idx="16">
                  <c:v>-1.3439487286044882E-2</c:v>
                </c:pt>
                <c:pt idx="17">
                  <c:v>9.2754860792922025E-3</c:v>
                </c:pt>
                <c:pt idx="18">
                  <c:v>-1.2505806353967364E-3</c:v>
                </c:pt>
                <c:pt idx="19">
                  <c:v>-3.5422767836721012E-3</c:v>
                </c:pt>
                <c:pt idx="20">
                  <c:v>0.12029385260410598</c:v>
                </c:pt>
                <c:pt idx="21">
                  <c:v>0.18438273181700482</c:v>
                </c:pt>
                <c:pt idx="22">
                  <c:v>0.22327964001098999</c:v>
                </c:pt>
                <c:pt idx="23">
                  <c:v>0.22108481937750302</c:v>
                </c:pt>
                <c:pt idx="24">
                  <c:v>8.5687783106984231E-2</c:v>
                </c:pt>
              </c:numCache>
            </c:numRef>
          </c:val>
          <c:smooth val="0"/>
          <c:extLst>
            <c:ext xmlns:c16="http://schemas.microsoft.com/office/drawing/2014/chart" uri="{C3380CC4-5D6E-409C-BE32-E72D297353CC}">
              <c16:uniqueId val="{00000001-EB43-3346-B008-05BD9A16E961}"/>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Accounts receivable turnover</a:t>
            </a:r>
            <a:endParaRPr lang="en-US" altLang="ko-KR" sz="3000" b="1" i="0" u="none" strike="noStrike">
              <a:effectLst/>
            </a:endParaRPr>
          </a:p>
        </c:rich>
      </c:tx>
      <c:overlay val="0"/>
      <c:spPr>
        <a:noFill/>
        <a:ln>
          <a:noFill/>
        </a:ln>
        <a:effectLst/>
      </c:spPr>
    </c:title>
    <c:autoTitleDeleted val="0"/>
    <c:plotArea>
      <c:layout>
        <c:manualLayout>
          <c:layoutTarget val="inner"/>
          <c:xMode val="edge"/>
          <c:yMode val="edge"/>
          <c:x val="7.6205451045215533E-2"/>
          <c:y val="0.12736637524380939"/>
          <c:w val="0.73197923430302936"/>
          <c:h val="0.73600796748814845"/>
        </c:manualLayout>
      </c:layout>
      <c:lineChart>
        <c:grouping val="standard"/>
        <c:varyColors val="0"/>
        <c:ser>
          <c:idx val="0"/>
          <c:order val="0"/>
          <c:tx>
            <c:strRef>
              <c:f>'Accounts receivable turnover'!$J$2:$K$2</c:f>
              <c:strCache>
                <c:ptCount val="2"/>
                <c:pt idx="0">
                  <c:v>GOOD</c:v>
                </c:pt>
              </c:strCache>
            </c:strRef>
          </c:tx>
          <c:spPr>
            <a:ln w="28575" cap="rnd" cmpd="sng">
              <a:solidFill>
                <a:srgbClr val="FF0000"/>
              </a:solidFill>
              <a:round/>
            </a:ln>
            <a:effectLst/>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'Accounts receivable turnover'!$L$11:$AJ$11</c:f>
              <c:numCache>
                <c:formatCode>0.000_);[Red]\(0.000\)</c:formatCode>
                <c:ptCount val="25"/>
                <c:pt idx="0" formatCode="General">
                  <c:v>0</c:v>
                </c:pt>
                <c:pt idx="1">
                  <c:v>-0.13850921749063869</c:v>
                </c:pt>
                <c:pt idx="2">
                  <c:v>-0.11299488002658536</c:v>
                </c:pt>
                <c:pt idx="3">
                  <c:v>-0.12154246287262915</c:v>
                </c:pt>
                <c:pt idx="4">
                  <c:v>-9.7297090976906642E-2</c:v>
                </c:pt>
                <c:pt idx="5">
                  <c:v>-0.15740065805957182</c:v>
                </c:pt>
                <c:pt idx="6">
                  <c:v>-0.20893450162208396</c:v>
                </c:pt>
                <c:pt idx="7">
                  <c:v>-0.18583706480582574</c:v>
                </c:pt>
                <c:pt idx="8">
                  <c:v>-0.10594895041052546</c:v>
                </c:pt>
                <c:pt idx="9">
                  <c:v>-2.797983207758431E-2</c:v>
                </c:pt>
                <c:pt idx="10">
                  <c:v>4.977466622231394E-2</c:v>
                </c:pt>
                <c:pt idx="11">
                  <c:v>9.4802630249995135E-2</c:v>
                </c:pt>
                <c:pt idx="12">
                  <c:v>-9.2336180142793101E-2</c:v>
                </c:pt>
                <c:pt idx="13">
                  <c:v>-0.19908348903913997</c:v>
                </c:pt>
                <c:pt idx="14">
                  <c:v>-8.0618206111055579E-2</c:v>
                </c:pt>
                <c:pt idx="15">
                  <c:v>-0.27024250889672546</c:v>
                </c:pt>
                <c:pt idx="16">
                  <c:v>-0.26774114762279594</c:v>
                </c:pt>
                <c:pt idx="17">
                  <c:v>-0.31974935022224649</c:v>
                </c:pt>
                <c:pt idx="18">
                  <c:v>-0.35299863132361686</c:v>
                </c:pt>
                <c:pt idx="19">
                  <c:v>-0.43363160900530434</c:v>
                </c:pt>
                <c:pt idx="20">
                  <c:v>-0.39791114348474282</c:v>
                </c:pt>
                <c:pt idx="21">
                  <c:v>-0.26563679351472602</c:v>
                </c:pt>
                <c:pt idx="22">
                  <c:v>-0.28332151958166835</c:v>
                </c:pt>
                <c:pt idx="23">
                  <c:v>-0.26315983035715923</c:v>
                </c:pt>
                <c:pt idx="24">
                  <c:v>-0.39898707269052669</c:v>
                </c:pt>
              </c:numCache>
            </c:numRef>
          </c:val>
          <c:smooth val="0"/>
          <c:extLst>
            <c:ext xmlns:c16="http://schemas.microsoft.com/office/drawing/2014/chart" uri="{C3380CC4-5D6E-409C-BE32-E72D297353CC}">
              <c16:uniqueId val="{00000000-C755-AC49-A74E-DAF0CB565AC1}"/>
            </c:ext>
          </c:extLst>
        </c:ser>
        <c:ser>
          <c:idx val="1"/>
          <c:order val="1"/>
          <c:tx>
            <c:strRef>
              <c:f>'Accounts receivable turnover'!$J$15:$K$15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'Accounts receivable turnover'!$L$24:$AJ$24</c:f>
              <c:numCache>
                <c:formatCode>0.000_);[Red]\(0.000\)</c:formatCode>
                <c:ptCount val="25"/>
                <c:pt idx="0" formatCode="General">
                  <c:v>0</c:v>
                </c:pt>
                <c:pt idx="1">
                  <c:v>-4.9034052025209815E-2</c:v>
                </c:pt>
                <c:pt idx="2">
                  <c:v>-1.2968749438309612E-2</c:v>
                </c:pt>
                <c:pt idx="3">
                  <c:v>5.0624366475367916E-3</c:v>
                </c:pt>
                <c:pt idx="4">
                  <c:v>-3.5434365604432028E-3</c:v>
                </c:pt>
                <c:pt idx="5">
                  <c:v>9.4963272045378994E-3</c:v>
                </c:pt>
                <c:pt idx="6">
                  <c:v>-4.8006248239060398E-2</c:v>
                </c:pt>
                <c:pt idx="7">
                  <c:v>-4.2311768227539209E-2</c:v>
                </c:pt>
                <c:pt idx="8">
                  <c:v>7.0278669697453874E-2</c:v>
                </c:pt>
                <c:pt idx="9">
                  <c:v>0.10512118838045981</c:v>
                </c:pt>
                <c:pt idx="10">
                  <c:v>0.14964721645261087</c:v>
                </c:pt>
                <c:pt idx="11">
                  <c:v>0.15382065374087533</c:v>
                </c:pt>
                <c:pt idx="12">
                  <c:v>6.501618426502187E-2</c:v>
                </c:pt>
                <c:pt idx="13">
                  <c:v>3.5466059239002076E-2</c:v>
                </c:pt>
                <c:pt idx="14">
                  <c:v>0.14548483134388984</c:v>
                </c:pt>
                <c:pt idx="15">
                  <c:v>2.9373310378659756E-2</c:v>
                </c:pt>
                <c:pt idx="16">
                  <c:v>-1.3439487286044882E-2</c:v>
                </c:pt>
                <c:pt idx="17">
                  <c:v>9.2754860792922025E-3</c:v>
                </c:pt>
                <c:pt idx="18">
                  <c:v>-1.2505806353967364E-3</c:v>
                </c:pt>
                <c:pt idx="19">
                  <c:v>-3.5422767836721012E-3</c:v>
                </c:pt>
                <c:pt idx="20">
                  <c:v>0.12029385260410598</c:v>
                </c:pt>
                <c:pt idx="21">
                  <c:v>0.18438273181700482</c:v>
                </c:pt>
                <c:pt idx="22">
                  <c:v>0.22327964001098999</c:v>
                </c:pt>
                <c:pt idx="23">
                  <c:v>0.22108481937750302</c:v>
                </c:pt>
                <c:pt idx="24">
                  <c:v>8.5687783106984231E-2</c:v>
                </c:pt>
              </c:numCache>
            </c:numRef>
          </c:val>
          <c:smooth val="0"/>
          <c:extLst>
            <c:ext xmlns:c16="http://schemas.microsoft.com/office/drawing/2014/chart" uri="{C3380CC4-5D6E-409C-BE32-E72D297353CC}">
              <c16:uniqueId val="{00000001-C755-AC49-A74E-DAF0CB565AC1}"/>
            </c:ext>
          </c:extLst>
        </c:ser>
        <c:ser>
          <c:idx val="2"/>
          <c:order val="2"/>
          <c:tx>
            <c:strRef>
              <c:f>'Accounts receivable turnover'!$J$68:$K$68</c:f>
              <c:strCache>
                <c:ptCount val="2"/>
                <c:pt idx="0">
                  <c:v>Industry average</c:v>
                </c:pt>
              </c:strCache>
            </c:strRef>
          </c:tx>
          <c:spPr>
            <a:ln w="28575">
              <a:solidFill>
                <a:schemeClr val="accent6"/>
              </a:solidFill>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'Accounts receivable turnover'!$L$73:$AJ$73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C755-AC49-A74E-DAF0CB565AC1}"/>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Average collection period</a:t>
            </a:r>
            <a:r>
              <a:rPr lang="ko-KR" altLang="ko-KR" sz="3000">
                <a:effectLst/>
              </a:rPr>
              <a:t> </a:t>
            </a:r>
          </a:p>
        </c:rich>
      </c:tx>
      <c:overlay val="0"/>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3"/>
          <c:order val="0"/>
          <c:tx>
            <c:strRef>
              <c:f>'Average collection period'!$J$2:$K$2</c:f>
              <c:strCache>
                <c:ptCount val="2"/>
                <c:pt idx="0">
                  <c:v>GOOD</c:v>
                </c:pt>
              </c:strCache>
            </c:strRef>
          </c:tx>
          <c:spPr>
            <a:ln w="28575" cap="rnd" cmpd="sng">
              <a:solidFill>
                <a:srgbClr val="FF0000"/>
              </a:solidFill>
              <a:round/>
            </a:ln>
            <a:effectLst/>
          </c:spPr>
          <c:marker>
            <c:symbol val="none"/>
          </c:marker>
          <c:cat>
            <c:strRef>
              <c:f>'Average collection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collection period'!$L$11:$AJ$11</c:f>
              <c:numCache>
                <c:formatCode>0.000_);[Red]\(0.000\)</c:formatCode>
                <c:ptCount val="25"/>
                <c:pt idx="0" formatCode="General">
                  <c:v>0</c:v>
                </c:pt>
                <c:pt idx="1">
                  <c:v>-0.13850921749063869</c:v>
                </c:pt>
                <c:pt idx="2">
                  <c:v>-0.11299488002658536</c:v>
                </c:pt>
                <c:pt idx="3">
                  <c:v>-0.12154246287262915</c:v>
                </c:pt>
                <c:pt idx="4">
                  <c:v>-9.7297090976906642E-2</c:v>
                </c:pt>
                <c:pt idx="5">
                  <c:v>-0.15740065805957182</c:v>
                </c:pt>
                <c:pt idx="6">
                  <c:v>-0.20893450162208396</c:v>
                </c:pt>
                <c:pt idx="7">
                  <c:v>-0.18583706480582574</c:v>
                </c:pt>
                <c:pt idx="8">
                  <c:v>-0.10594895041052546</c:v>
                </c:pt>
                <c:pt idx="9">
                  <c:v>-2.797983207758431E-2</c:v>
                </c:pt>
                <c:pt idx="10">
                  <c:v>4.977466622231394E-2</c:v>
                </c:pt>
                <c:pt idx="11">
                  <c:v>9.4802630249995135E-2</c:v>
                </c:pt>
                <c:pt idx="12">
                  <c:v>-9.2336180142793101E-2</c:v>
                </c:pt>
                <c:pt idx="13">
                  <c:v>-0.19908348903913997</c:v>
                </c:pt>
                <c:pt idx="14">
                  <c:v>-8.0618206111055579E-2</c:v>
                </c:pt>
                <c:pt idx="15">
                  <c:v>-0.27024250889672546</c:v>
                </c:pt>
                <c:pt idx="16">
                  <c:v>-0.26774114762279594</c:v>
                </c:pt>
                <c:pt idx="17">
                  <c:v>-0.31974935022224649</c:v>
                </c:pt>
                <c:pt idx="18">
                  <c:v>-0.35299863132361686</c:v>
                </c:pt>
                <c:pt idx="19">
                  <c:v>-0.43363160900530434</c:v>
                </c:pt>
                <c:pt idx="20">
                  <c:v>-0.39791114348474282</c:v>
                </c:pt>
                <c:pt idx="21">
                  <c:v>-0.26563679351472602</c:v>
                </c:pt>
                <c:pt idx="22">
                  <c:v>-0.28332151958166835</c:v>
                </c:pt>
                <c:pt idx="23">
                  <c:v>-0.26315983035715923</c:v>
                </c:pt>
                <c:pt idx="24">
                  <c:v>-0.39898707269052669</c:v>
                </c:pt>
              </c:numCache>
            </c:numRef>
          </c:val>
          <c:smooth val="0"/>
          <c:extLst>
            <c:ext xmlns:c16="http://schemas.microsoft.com/office/drawing/2014/chart" uri="{C3380CC4-5D6E-409C-BE32-E72D297353CC}">
              <c16:uniqueId val="{00000012-E717-C945-895D-41CAC1BBDE51}"/>
            </c:ext>
          </c:extLst>
        </c:ser>
        <c:ser>
          <c:idx val="4"/>
          <c:order val="1"/>
          <c:tx>
            <c:strRef>
              <c:f>'Average collection period'!$J$15:$K$15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'Average collection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collection period'!$L$24:$AJ$24</c:f>
              <c:numCache>
                <c:formatCode>0.000_);[Red]\(0.000\)</c:formatCode>
                <c:ptCount val="25"/>
                <c:pt idx="0" formatCode="General">
                  <c:v>0</c:v>
                </c:pt>
                <c:pt idx="1">
                  <c:v>-4.9034052025209815E-2</c:v>
                </c:pt>
                <c:pt idx="2">
                  <c:v>-1.2968749438309612E-2</c:v>
                </c:pt>
                <c:pt idx="3">
                  <c:v>5.0624366475367916E-3</c:v>
                </c:pt>
                <c:pt idx="4">
                  <c:v>-3.5434365604432028E-3</c:v>
                </c:pt>
                <c:pt idx="5">
                  <c:v>9.4963272045378994E-3</c:v>
                </c:pt>
                <c:pt idx="6">
                  <c:v>-4.8006248239060398E-2</c:v>
                </c:pt>
                <c:pt idx="7">
                  <c:v>-4.2311768227539209E-2</c:v>
                </c:pt>
                <c:pt idx="8">
                  <c:v>7.0278669697453874E-2</c:v>
                </c:pt>
                <c:pt idx="9">
                  <c:v>0.10512118838045981</c:v>
                </c:pt>
                <c:pt idx="10">
                  <c:v>0.14964721645261087</c:v>
                </c:pt>
                <c:pt idx="11">
                  <c:v>0.15382065374087533</c:v>
                </c:pt>
                <c:pt idx="12">
                  <c:v>6.501618426502187E-2</c:v>
                </c:pt>
                <c:pt idx="13">
                  <c:v>3.5466059239002076E-2</c:v>
                </c:pt>
                <c:pt idx="14">
                  <c:v>0.14548483134388984</c:v>
                </c:pt>
                <c:pt idx="15">
                  <c:v>2.9373310378659756E-2</c:v>
                </c:pt>
                <c:pt idx="16">
                  <c:v>-1.3439487286044882E-2</c:v>
                </c:pt>
                <c:pt idx="17">
                  <c:v>9.2754860792922025E-3</c:v>
                </c:pt>
                <c:pt idx="18">
                  <c:v>-1.2505806353967364E-3</c:v>
                </c:pt>
                <c:pt idx="19">
                  <c:v>-3.5422767836721012E-3</c:v>
                </c:pt>
                <c:pt idx="20">
                  <c:v>0.12029385260410598</c:v>
                </c:pt>
                <c:pt idx="21">
                  <c:v>0.18438273181700482</c:v>
                </c:pt>
                <c:pt idx="22">
                  <c:v>0.22327964001098999</c:v>
                </c:pt>
                <c:pt idx="23">
                  <c:v>0.22108481937750302</c:v>
                </c:pt>
                <c:pt idx="24">
                  <c:v>8.5687783106984231E-2</c:v>
                </c:pt>
              </c:numCache>
            </c:numRef>
          </c:val>
          <c:smooth val="0"/>
          <c:extLst>
            <c:ext xmlns:c16="http://schemas.microsoft.com/office/drawing/2014/chart" uri="{C3380CC4-5D6E-409C-BE32-E72D297353CC}">
              <c16:uniqueId val="{00000013-E717-C945-895D-41CAC1BBDE51}"/>
            </c:ext>
          </c:extLst>
        </c:ser>
        <c:ser>
          <c:idx val="5"/>
          <c:order val="2"/>
          <c:tx>
            <c:strRef>
              <c:f>'Average collection period'!$J$26:$K$26</c:f>
              <c:strCache>
                <c:ptCount val="2"/>
                <c:pt idx="0">
                  <c:v>S&amp;P 500</c:v>
                </c:pt>
              </c:strCache>
            </c:strRef>
          </c:tx>
          <c:spPr>
            <a:ln w="28575">
              <a:solidFill>
                <a:schemeClr val="accent4"/>
              </a:solidFill>
            </a:ln>
          </c:spPr>
          <c:marker>
            <c:symbol val="none"/>
          </c:marker>
          <c:cat>
            <c:strRef>
              <c:f>'Average collection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collection period'!$L$31:$AJ$31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0.20531230398190772</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14-E717-C945-895D-41CAC1BBDE51}"/>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30" b="1" i="1" u="none" baseline="0">
                <a:solidFill>
                  <a:schemeClr val="accent1"/>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Average collection period</a:t>
            </a:r>
            <a:r>
              <a:rPr lang="ko-KR" altLang="ko-KR" sz="3000">
                <a:effectLst/>
              </a:rPr>
              <a:t> </a:t>
            </a:r>
          </a:p>
        </c:rich>
      </c:tx>
      <c:overlay val="0"/>
      <c:spPr>
        <a:noFill/>
        <a:ln>
          <a:noFill/>
        </a:ln>
        <a:effectLst/>
      </c:spPr>
    </c:title>
    <c:autoTitleDeleted val="0"/>
    <c:plotArea>
      <c:layout>
        <c:manualLayout>
          <c:layoutTarget val="inner"/>
          <c:xMode val="edge"/>
          <c:yMode val="edge"/>
          <c:x val="0.12217638482395132"/>
          <c:y val="0.13371502251709569"/>
          <c:w val="0.73197923430302936"/>
          <c:h val="0.73600796748814845"/>
        </c:manualLayout>
      </c:layout>
      <c:lineChart>
        <c:grouping val="standard"/>
        <c:varyColors val="0"/>
        <c:ser>
          <c:idx val="0"/>
          <c:order val="0"/>
          <c:tx>
            <c:strRef>
              <c:f>'Average collection period'!$J$2:$K$2</c:f>
              <c:strCache>
                <c:ptCount val="2"/>
                <c:pt idx="0">
                  <c:v>GOOD</c:v>
                </c:pt>
              </c:strCache>
            </c:strRef>
          </c:tx>
          <c:spPr>
            <a:ln w="28575" cap="rnd" cmpd="sng">
              <a:solidFill>
                <a:srgbClr val="FF0000"/>
              </a:solidFill>
              <a:round/>
            </a:ln>
            <a:effectLst/>
          </c:spPr>
          <c:marker>
            <c:symbol val="none"/>
          </c:marker>
          <c:cat>
            <c:strRef>
              <c:f>'Average collection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collection period'!$L$11:$AJ$11</c:f>
              <c:numCache>
                <c:formatCode>0.000_);[Red]\(0.000\)</c:formatCode>
                <c:ptCount val="25"/>
                <c:pt idx="0" formatCode="General">
                  <c:v>0</c:v>
                </c:pt>
                <c:pt idx="1">
                  <c:v>-0.13850921749063869</c:v>
                </c:pt>
                <c:pt idx="2">
                  <c:v>-0.11299488002658536</c:v>
                </c:pt>
                <c:pt idx="3">
                  <c:v>-0.12154246287262915</c:v>
                </c:pt>
                <c:pt idx="4">
                  <c:v>-9.7297090976906642E-2</c:v>
                </c:pt>
                <c:pt idx="5">
                  <c:v>-0.15740065805957182</c:v>
                </c:pt>
                <c:pt idx="6">
                  <c:v>-0.20893450162208396</c:v>
                </c:pt>
                <c:pt idx="7">
                  <c:v>-0.18583706480582574</c:v>
                </c:pt>
                <c:pt idx="8">
                  <c:v>-0.10594895041052546</c:v>
                </c:pt>
                <c:pt idx="9">
                  <c:v>-2.797983207758431E-2</c:v>
                </c:pt>
                <c:pt idx="10">
                  <c:v>4.977466622231394E-2</c:v>
                </c:pt>
                <c:pt idx="11">
                  <c:v>9.4802630249995135E-2</c:v>
                </c:pt>
                <c:pt idx="12">
                  <c:v>-9.2336180142793101E-2</c:v>
                </c:pt>
                <c:pt idx="13">
                  <c:v>-0.19908348903913997</c:v>
                </c:pt>
                <c:pt idx="14">
                  <c:v>-8.0618206111055579E-2</c:v>
                </c:pt>
                <c:pt idx="15">
                  <c:v>-0.27024250889672546</c:v>
                </c:pt>
                <c:pt idx="16">
                  <c:v>-0.26774114762279594</c:v>
                </c:pt>
                <c:pt idx="17">
                  <c:v>-0.31974935022224649</c:v>
                </c:pt>
                <c:pt idx="18">
                  <c:v>-0.35299863132361686</c:v>
                </c:pt>
                <c:pt idx="19">
                  <c:v>-0.43363160900530434</c:v>
                </c:pt>
                <c:pt idx="20">
                  <c:v>-0.39791114348474282</c:v>
                </c:pt>
                <c:pt idx="21">
                  <c:v>-0.26563679351472602</c:v>
                </c:pt>
                <c:pt idx="22">
                  <c:v>-0.28332151958166835</c:v>
                </c:pt>
                <c:pt idx="23">
                  <c:v>-0.26315983035715923</c:v>
                </c:pt>
                <c:pt idx="24">
                  <c:v>-0.39898707269052669</c:v>
                </c:pt>
              </c:numCache>
            </c:numRef>
          </c:val>
          <c:smooth val="0"/>
          <c:extLst>
            <c:ext xmlns:c16="http://schemas.microsoft.com/office/drawing/2014/chart" uri="{C3380CC4-5D6E-409C-BE32-E72D297353CC}">
              <c16:uniqueId val="{00000000-070E-E444-B757-7B42603305B8}"/>
            </c:ext>
          </c:extLst>
        </c:ser>
        <c:ser>
          <c:idx val="1"/>
          <c:order val="1"/>
          <c:tx>
            <c:strRef>
              <c:f>'Average collection period'!$J$15:$K$15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'Average collection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collection period'!$L$24:$AJ$24</c:f>
              <c:numCache>
                <c:formatCode>0.000_);[Red]\(0.000\)</c:formatCode>
                <c:ptCount val="25"/>
                <c:pt idx="0" formatCode="General">
                  <c:v>0</c:v>
                </c:pt>
                <c:pt idx="1">
                  <c:v>-4.9034052025209815E-2</c:v>
                </c:pt>
                <c:pt idx="2">
                  <c:v>-1.2968749438309612E-2</c:v>
                </c:pt>
                <c:pt idx="3">
                  <c:v>5.0624366475367916E-3</c:v>
                </c:pt>
                <c:pt idx="4">
                  <c:v>-3.5434365604432028E-3</c:v>
                </c:pt>
                <c:pt idx="5">
                  <c:v>9.4963272045378994E-3</c:v>
                </c:pt>
                <c:pt idx="6">
                  <c:v>-4.8006248239060398E-2</c:v>
                </c:pt>
                <c:pt idx="7">
                  <c:v>-4.2311768227539209E-2</c:v>
                </c:pt>
                <c:pt idx="8">
                  <c:v>7.0278669697453874E-2</c:v>
                </c:pt>
                <c:pt idx="9">
                  <c:v>0.10512118838045981</c:v>
                </c:pt>
                <c:pt idx="10">
                  <c:v>0.14964721645261087</c:v>
                </c:pt>
                <c:pt idx="11">
                  <c:v>0.15382065374087533</c:v>
                </c:pt>
                <c:pt idx="12">
                  <c:v>6.501618426502187E-2</c:v>
                </c:pt>
                <c:pt idx="13">
                  <c:v>3.5466059239002076E-2</c:v>
                </c:pt>
                <c:pt idx="14">
                  <c:v>0.14548483134388984</c:v>
                </c:pt>
                <c:pt idx="15">
                  <c:v>2.9373310378659756E-2</c:v>
                </c:pt>
                <c:pt idx="16">
                  <c:v>-1.3439487286044882E-2</c:v>
                </c:pt>
                <c:pt idx="17">
                  <c:v>9.2754860792922025E-3</c:v>
                </c:pt>
                <c:pt idx="18">
                  <c:v>-1.2505806353967364E-3</c:v>
                </c:pt>
                <c:pt idx="19">
                  <c:v>-3.5422767836721012E-3</c:v>
                </c:pt>
                <c:pt idx="20">
                  <c:v>0.12029385260410598</c:v>
                </c:pt>
                <c:pt idx="21">
                  <c:v>0.18438273181700482</c:v>
                </c:pt>
                <c:pt idx="22">
                  <c:v>0.22327964001098999</c:v>
                </c:pt>
                <c:pt idx="23">
                  <c:v>0.22108481937750302</c:v>
                </c:pt>
                <c:pt idx="24">
                  <c:v>8.5687783106984231E-2</c:v>
                </c:pt>
              </c:numCache>
            </c:numRef>
          </c:val>
          <c:smooth val="0"/>
          <c:extLst>
            <c:ext xmlns:c16="http://schemas.microsoft.com/office/drawing/2014/chart" uri="{C3380CC4-5D6E-409C-BE32-E72D297353CC}">
              <c16:uniqueId val="{00000001-070E-E444-B757-7B42603305B8}"/>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Average collection period</a:t>
            </a:r>
            <a:r>
              <a:rPr lang="ko-KR" altLang="ko-KR" sz="3000">
                <a:effectLst/>
              </a:rPr>
              <a:t> </a:t>
            </a:r>
          </a:p>
        </c:rich>
      </c:tx>
      <c:overlay val="0"/>
      <c:spPr>
        <a:noFill/>
        <a:ln>
          <a:noFill/>
        </a:ln>
        <a:effectLst/>
      </c:spPr>
    </c:title>
    <c:autoTitleDeleted val="0"/>
    <c:plotArea>
      <c:layout>
        <c:manualLayout>
          <c:layoutTarget val="inner"/>
          <c:xMode val="edge"/>
          <c:yMode val="edge"/>
          <c:x val="6.7747848347748871E-2"/>
          <c:y val="0.11892162451187061"/>
          <c:w val="0.73197923430302936"/>
          <c:h val="0.73600796748814845"/>
        </c:manualLayout>
      </c:layout>
      <c:lineChart>
        <c:grouping val="standard"/>
        <c:varyColors val="0"/>
        <c:ser>
          <c:idx val="0"/>
          <c:order val="0"/>
          <c:tx>
            <c:strRef>
              <c:f>'Inventory turnover'!$J$2:$K$2</c:f>
              <c:strCache>
                <c:ptCount val="2"/>
                <c:pt idx="0">
                  <c:v>GOOD</c:v>
                </c:pt>
              </c:strCache>
            </c:strRef>
          </c:tx>
          <c:spPr>
            <a:ln w="28575" cap="rnd" cmpd="sng">
              <a:solidFill>
                <a:srgbClr val="FF0000"/>
              </a:solidFill>
              <a:round/>
            </a:ln>
            <a:effectLst/>
          </c:spPr>
          <c:marker>
            <c:symbol val="none"/>
          </c:marker>
          <c:cat>
            <c:strRef>
              <c:f>'Average collection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collection period'!$L$11:$AJ$11</c:f>
              <c:numCache>
                <c:formatCode>0.000_);[Red]\(0.000\)</c:formatCode>
                <c:ptCount val="25"/>
                <c:pt idx="0" formatCode="General">
                  <c:v>0</c:v>
                </c:pt>
                <c:pt idx="1">
                  <c:v>-0.13850921749063869</c:v>
                </c:pt>
                <c:pt idx="2">
                  <c:v>-0.11299488002658536</c:v>
                </c:pt>
                <c:pt idx="3">
                  <c:v>-0.12154246287262915</c:v>
                </c:pt>
                <c:pt idx="4">
                  <c:v>-9.7297090976906642E-2</c:v>
                </c:pt>
                <c:pt idx="5">
                  <c:v>-0.15740065805957182</c:v>
                </c:pt>
                <c:pt idx="6">
                  <c:v>-0.20893450162208396</c:v>
                </c:pt>
                <c:pt idx="7">
                  <c:v>-0.18583706480582574</c:v>
                </c:pt>
                <c:pt idx="8">
                  <c:v>-0.10594895041052546</c:v>
                </c:pt>
                <c:pt idx="9">
                  <c:v>-2.797983207758431E-2</c:v>
                </c:pt>
                <c:pt idx="10">
                  <c:v>4.977466622231394E-2</c:v>
                </c:pt>
                <c:pt idx="11">
                  <c:v>9.4802630249995135E-2</c:v>
                </c:pt>
                <c:pt idx="12">
                  <c:v>-9.2336180142793101E-2</c:v>
                </c:pt>
                <c:pt idx="13">
                  <c:v>-0.19908348903913997</c:v>
                </c:pt>
                <c:pt idx="14">
                  <c:v>-8.0618206111055579E-2</c:v>
                </c:pt>
                <c:pt idx="15">
                  <c:v>-0.27024250889672546</c:v>
                </c:pt>
                <c:pt idx="16">
                  <c:v>-0.26774114762279594</c:v>
                </c:pt>
                <c:pt idx="17">
                  <c:v>-0.31974935022224649</c:v>
                </c:pt>
                <c:pt idx="18">
                  <c:v>-0.35299863132361686</c:v>
                </c:pt>
                <c:pt idx="19">
                  <c:v>-0.43363160900530434</c:v>
                </c:pt>
                <c:pt idx="20">
                  <c:v>-0.39791114348474282</c:v>
                </c:pt>
                <c:pt idx="21">
                  <c:v>-0.26563679351472602</c:v>
                </c:pt>
                <c:pt idx="22">
                  <c:v>-0.28332151958166835</c:v>
                </c:pt>
                <c:pt idx="23">
                  <c:v>-0.26315983035715923</c:v>
                </c:pt>
                <c:pt idx="24">
                  <c:v>-0.39898707269052669</c:v>
                </c:pt>
              </c:numCache>
            </c:numRef>
          </c:val>
          <c:smooth val="0"/>
          <c:extLst>
            <c:ext xmlns:c16="http://schemas.microsoft.com/office/drawing/2014/chart" uri="{C3380CC4-5D6E-409C-BE32-E72D297353CC}">
              <c16:uniqueId val="{00000000-0DC0-9E46-AC15-4FC372632D42}"/>
            </c:ext>
          </c:extLst>
        </c:ser>
        <c:ser>
          <c:idx val="1"/>
          <c:order val="1"/>
          <c:tx>
            <c:strRef>
              <c:f>'Average collection period'!$J$15:$K$15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'Average collection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collection period'!$L$24:$AJ$24</c:f>
              <c:numCache>
                <c:formatCode>0.000_);[Red]\(0.000\)</c:formatCode>
                <c:ptCount val="25"/>
                <c:pt idx="0" formatCode="General">
                  <c:v>0</c:v>
                </c:pt>
                <c:pt idx="1">
                  <c:v>-4.9034052025209815E-2</c:v>
                </c:pt>
                <c:pt idx="2">
                  <c:v>-1.2968749438309612E-2</c:v>
                </c:pt>
                <c:pt idx="3">
                  <c:v>5.0624366475367916E-3</c:v>
                </c:pt>
                <c:pt idx="4">
                  <c:v>-3.5434365604432028E-3</c:v>
                </c:pt>
                <c:pt idx="5">
                  <c:v>9.4963272045378994E-3</c:v>
                </c:pt>
                <c:pt idx="6">
                  <c:v>-4.8006248239060398E-2</c:v>
                </c:pt>
                <c:pt idx="7">
                  <c:v>-4.2311768227539209E-2</c:v>
                </c:pt>
                <c:pt idx="8">
                  <c:v>7.0278669697453874E-2</c:v>
                </c:pt>
                <c:pt idx="9">
                  <c:v>0.10512118838045981</c:v>
                </c:pt>
                <c:pt idx="10">
                  <c:v>0.14964721645261087</c:v>
                </c:pt>
                <c:pt idx="11">
                  <c:v>0.15382065374087533</c:v>
                </c:pt>
                <c:pt idx="12">
                  <c:v>6.501618426502187E-2</c:v>
                </c:pt>
                <c:pt idx="13">
                  <c:v>3.5466059239002076E-2</c:v>
                </c:pt>
                <c:pt idx="14">
                  <c:v>0.14548483134388984</c:v>
                </c:pt>
                <c:pt idx="15">
                  <c:v>2.9373310378659756E-2</c:v>
                </c:pt>
                <c:pt idx="16">
                  <c:v>-1.3439487286044882E-2</c:v>
                </c:pt>
                <c:pt idx="17">
                  <c:v>9.2754860792922025E-3</c:v>
                </c:pt>
                <c:pt idx="18">
                  <c:v>-1.2505806353967364E-3</c:v>
                </c:pt>
                <c:pt idx="19">
                  <c:v>-3.5422767836721012E-3</c:v>
                </c:pt>
                <c:pt idx="20">
                  <c:v>0.12029385260410598</c:v>
                </c:pt>
                <c:pt idx="21">
                  <c:v>0.18438273181700482</c:v>
                </c:pt>
                <c:pt idx="22">
                  <c:v>0.22327964001098999</c:v>
                </c:pt>
                <c:pt idx="23">
                  <c:v>0.22108481937750302</c:v>
                </c:pt>
                <c:pt idx="24">
                  <c:v>8.5687783106984231E-2</c:v>
                </c:pt>
              </c:numCache>
            </c:numRef>
          </c:val>
          <c:smooth val="0"/>
          <c:extLst>
            <c:ext xmlns:c16="http://schemas.microsoft.com/office/drawing/2014/chart" uri="{C3380CC4-5D6E-409C-BE32-E72D297353CC}">
              <c16:uniqueId val="{00000001-0DC0-9E46-AC15-4FC372632D42}"/>
            </c:ext>
          </c:extLst>
        </c:ser>
        <c:ser>
          <c:idx val="2"/>
          <c:order val="2"/>
          <c:tx>
            <c:strRef>
              <c:f>'Inventory turnover'!$J$68:$K$68</c:f>
              <c:strCache>
                <c:ptCount val="2"/>
                <c:pt idx="0">
                  <c:v>Industry average</c:v>
                </c:pt>
              </c:strCache>
            </c:strRef>
          </c:tx>
          <c:spPr>
            <a:ln w="28575">
              <a:solidFill>
                <a:schemeClr val="accent6"/>
              </a:solidFill>
            </a:ln>
          </c:spPr>
          <c:marker>
            <c:symbol val="none"/>
          </c:marker>
          <c:cat>
            <c:strRef>
              <c:f>'Average collection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0DC0-9E46-AC15-4FC372632D42}"/>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en" altLang="ko-KR" sz="3000" b="1" i="0" u="none" strike="noStrike">
                <a:effectLst/>
              </a:rPr>
              <a:t>Inventory turnover</a:t>
            </a:r>
            <a:endParaRPr lang="ko-KR" altLang="ko-KR" sz="3000">
              <a:effectLst/>
            </a:endParaRPr>
          </a:p>
        </c:rich>
      </c:tx>
      <c:overlay val="0"/>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'Inventory turnover'!$J$2:$K$2</c:f>
              <c:strCache>
                <c:ptCount val="2"/>
                <c:pt idx="0">
                  <c:v>GOOD</c:v>
                </c:pt>
              </c:strCache>
            </c:strRef>
          </c:tx>
          <c:spPr>
            <a:ln w="28575" cap="rnd" cmpd="sng">
              <a:solidFill>
                <a:srgbClr val="FF0000"/>
              </a:solidFill>
              <a:round/>
            </a:ln>
            <a:effectLst/>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turnover'!$L$11:$AJ$11</c:f>
              <c:numCache>
                <c:formatCode>0.000_);[Red]\(0.000\)</c:formatCode>
                <c:ptCount val="25"/>
                <c:pt idx="0" formatCode="General">
                  <c:v>0</c:v>
                </c:pt>
                <c:pt idx="1">
                  <c:v>-6.6257135875091855E-2</c:v>
                </c:pt>
                <c:pt idx="2">
                  <c:v>-4.4460587260448201E-2</c:v>
                </c:pt>
                <c:pt idx="3">
                  <c:v>-3.7021284232970367E-2</c:v>
                </c:pt>
                <c:pt idx="4">
                  <c:v>-9.210814842503981E-3</c:v>
                </c:pt>
                <c:pt idx="5">
                  <c:v>-5.617209204922706E-2</c:v>
                </c:pt>
                <c:pt idx="6">
                  <c:v>-0.10254479777387229</c:v>
                </c:pt>
                <c:pt idx="7">
                  <c:v>-0.10603723913237983</c:v>
                </c:pt>
                <c:pt idx="8">
                  <c:v>-9.4182915000468881E-3</c:v>
                </c:pt>
                <c:pt idx="9">
                  <c:v>6.2564282903309038E-2</c:v>
                </c:pt>
                <c:pt idx="10">
                  <c:v>0.11195923688734422</c:v>
                </c:pt>
                <c:pt idx="11">
                  <c:v>0.16635022209759143</c:v>
                </c:pt>
                <c:pt idx="12">
                  <c:v>-1.0482490266590011E-2</c:v>
                </c:pt>
                <c:pt idx="13">
                  <c:v>-6.9885595221401461E-2</c:v>
                </c:pt>
                <c:pt idx="14">
                  <c:v>5.241867542390144E-3</c:v>
                </c:pt>
                <c:pt idx="15">
                  <c:v>-0.11822813121604496</c:v>
                </c:pt>
                <c:pt idx="16">
                  <c:v>-0.12260861495310889</c:v>
                </c:pt>
                <c:pt idx="17">
                  <c:v>-0.1637459672696312</c:v>
                </c:pt>
                <c:pt idx="18">
                  <c:v>-0.18900754867921291</c:v>
                </c:pt>
                <c:pt idx="19">
                  <c:v>-0.28234103156338092</c:v>
                </c:pt>
                <c:pt idx="20">
                  <c:v>-0.21943425671462621</c:v>
                </c:pt>
                <c:pt idx="21">
                  <c:v>-7.3089207920899235E-2</c:v>
                </c:pt>
                <c:pt idx="22">
                  <c:v>-7.7376164839808845E-2</c:v>
                </c:pt>
                <c:pt idx="23">
                  <c:v>-2.9635942364577856E-2</c:v>
                </c:pt>
                <c:pt idx="24">
                  <c:v>-0.20946285671441403</c:v>
                </c:pt>
              </c:numCache>
            </c:numRef>
          </c:val>
          <c:smooth val="0"/>
          <c:extLst>
            <c:ext xmlns:c16="http://schemas.microsoft.com/office/drawing/2014/chart" uri="{C3380CC4-5D6E-409C-BE32-E72D297353CC}">
              <c16:uniqueId val="{00000000-865C-3644-A968-605C6B22149B}"/>
            </c:ext>
          </c:extLst>
        </c:ser>
        <c:ser>
          <c:idx val="1"/>
          <c:order val="1"/>
          <c:tx>
            <c:strRef>
              <c:f>'Inventory turnover'!$J$15:$K$15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turnover'!$L$24:$AJ$24</c:f>
              <c:numCache>
                <c:formatCode>0.000_);[Red]\(0.000\)</c:formatCode>
                <c:ptCount val="25"/>
                <c:pt idx="0" formatCode="General">
                  <c:v>0</c:v>
                </c:pt>
                <c:pt idx="1">
                  <c:v>-3.8549195542439088E-2</c:v>
                </c:pt>
                <c:pt idx="2">
                  <c:v>-2.0373509541224064E-2</c:v>
                </c:pt>
                <c:pt idx="3">
                  <c:v>-3.3251218110751282E-2</c:v>
                </c:pt>
                <c:pt idx="4">
                  <c:v>-3.309598497846851E-2</c:v>
                </c:pt>
                <c:pt idx="5">
                  <c:v>-8.8661666677026379E-3</c:v>
                </c:pt>
                <c:pt idx="6">
                  <c:v>-8.8378248152463729E-2</c:v>
                </c:pt>
                <c:pt idx="7">
                  <c:v>-3.7228757801663917E-2</c:v>
                </c:pt>
                <c:pt idx="8">
                  <c:v>3.3443496944310633E-2</c:v>
                </c:pt>
                <c:pt idx="9">
                  <c:v>9.0539603981977329E-2</c:v>
                </c:pt>
                <c:pt idx="10">
                  <c:v>9.573043870610401E-2</c:v>
                </c:pt>
                <c:pt idx="11">
                  <c:v>0.11733973163037284</c:v>
                </c:pt>
                <c:pt idx="12">
                  <c:v>-7.9323199788833149E-3</c:v>
                </c:pt>
                <c:pt idx="13">
                  <c:v>-6.5610372095760122E-2</c:v>
                </c:pt>
                <c:pt idx="14">
                  <c:v>5.0077819524870046E-2</c:v>
                </c:pt>
                <c:pt idx="15">
                  <c:v>-4.7749562979642592E-2</c:v>
                </c:pt>
                <c:pt idx="16">
                  <c:v>-8.1269895867992492E-2</c:v>
                </c:pt>
                <c:pt idx="17">
                  <c:v>-7.3571771529441485E-2</c:v>
                </c:pt>
                <c:pt idx="18">
                  <c:v>-0.13624622198473127</c:v>
                </c:pt>
                <c:pt idx="19">
                  <c:v>-0.13520361480284179</c:v>
                </c:pt>
                <c:pt idx="20">
                  <c:v>-4.8772811293573616E-2</c:v>
                </c:pt>
                <c:pt idx="21">
                  <c:v>6.2096438801539443E-2</c:v>
                </c:pt>
                <c:pt idx="22">
                  <c:v>6.2581835383796899E-2</c:v>
                </c:pt>
                <c:pt idx="23">
                  <c:v>7.1359574771481318E-2</c:v>
                </c:pt>
                <c:pt idx="24">
                  <c:v>-4.760621331965622E-2</c:v>
                </c:pt>
              </c:numCache>
            </c:numRef>
          </c:val>
          <c:smooth val="0"/>
          <c:extLst>
            <c:ext xmlns:c16="http://schemas.microsoft.com/office/drawing/2014/chart" uri="{C3380CC4-5D6E-409C-BE32-E72D297353CC}">
              <c16:uniqueId val="{00000001-865C-3644-A968-605C6B22149B}"/>
            </c:ext>
          </c:extLst>
        </c:ser>
        <c:ser>
          <c:idx val="2"/>
          <c:order val="2"/>
          <c:tx>
            <c:strRef>
              <c:f>'Inventory turnover'!$J$26:$K$26</c:f>
              <c:strCache>
                <c:ptCount val="2"/>
                <c:pt idx="0">
                  <c:v>S&amp;P 500</c:v>
                </c:pt>
              </c:strCache>
            </c:strRef>
          </c:tx>
          <c:spPr>
            <a:ln w="28575">
              <a:solidFill>
                <a:schemeClr val="accent4"/>
              </a:solidFill>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0.20531230398190772</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865C-3644-A968-605C6B22149B}"/>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en" altLang="ko-KR" sz="3000" b="1" i="0" u="none" strike="noStrike">
                <a:effectLst/>
              </a:rPr>
              <a:t>Inventory turnover</a:t>
            </a:r>
            <a:endParaRPr lang="ko-KR" altLang="ko-KR" sz="3000">
              <a:effectLst/>
            </a:endParaRPr>
          </a:p>
        </c:rich>
      </c:tx>
      <c:overlay val="0"/>
      <c:spPr>
        <a:noFill/>
        <a:ln>
          <a:noFill/>
        </a:ln>
        <a:effectLst/>
      </c:spPr>
    </c:title>
    <c:autoTitleDeleted val="0"/>
    <c:plotArea>
      <c:layout>
        <c:manualLayout>
          <c:layoutTarget val="inner"/>
          <c:xMode val="edge"/>
          <c:yMode val="edge"/>
          <c:x val="0.14605769742092994"/>
          <c:y val="0.11669437749458372"/>
          <c:w val="0.73197923430302936"/>
          <c:h val="0.73600796748814845"/>
        </c:manualLayout>
      </c:layout>
      <c:lineChart>
        <c:grouping val="standard"/>
        <c:varyColors val="0"/>
        <c:ser>
          <c:idx val="0"/>
          <c:order val="0"/>
          <c:tx>
            <c:strRef>
              <c:f>'Inventory turnover'!$J$2:$K$2</c:f>
              <c:strCache>
                <c:ptCount val="2"/>
                <c:pt idx="0">
                  <c:v>GOOD</c:v>
                </c:pt>
              </c:strCache>
            </c:strRef>
          </c:tx>
          <c:spPr>
            <a:ln w="28575" cap="rnd" cmpd="sng">
              <a:solidFill>
                <a:srgbClr val="FF0000"/>
              </a:solidFill>
              <a:round/>
            </a:ln>
            <a:effectLst/>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turnover'!$L$11:$AJ$11</c:f>
              <c:numCache>
                <c:formatCode>0.000_);[Red]\(0.000\)</c:formatCode>
                <c:ptCount val="25"/>
                <c:pt idx="0" formatCode="General">
                  <c:v>0</c:v>
                </c:pt>
                <c:pt idx="1">
                  <c:v>-6.6257135875091855E-2</c:v>
                </c:pt>
                <c:pt idx="2">
                  <c:v>-4.4460587260448201E-2</c:v>
                </c:pt>
                <c:pt idx="3">
                  <c:v>-3.7021284232970367E-2</c:v>
                </c:pt>
                <c:pt idx="4">
                  <c:v>-9.210814842503981E-3</c:v>
                </c:pt>
                <c:pt idx="5">
                  <c:v>-5.617209204922706E-2</c:v>
                </c:pt>
                <c:pt idx="6">
                  <c:v>-0.10254479777387229</c:v>
                </c:pt>
                <c:pt idx="7">
                  <c:v>-0.10603723913237983</c:v>
                </c:pt>
                <c:pt idx="8">
                  <c:v>-9.4182915000468881E-3</c:v>
                </c:pt>
                <c:pt idx="9">
                  <c:v>6.2564282903309038E-2</c:v>
                </c:pt>
                <c:pt idx="10">
                  <c:v>0.11195923688734422</c:v>
                </c:pt>
                <c:pt idx="11">
                  <c:v>0.16635022209759143</c:v>
                </c:pt>
                <c:pt idx="12">
                  <c:v>-1.0482490266590011E-2</c:v>
                </c:pt>
                <c:pt idx="13">
                  <c:v>-6.9885595221401461E-2</c:v>
                </c:pt>
                <c:pt idx="14">
                  <c:v>5.241867542390144E-3</c:v>
                </c:pt>
                <c:pt idx="15">
                  <c:v>-0.11822813121604496</c:v>
                </c:pt>
                <c:pt idx="16">
                  <c:v>-0.12260861495310889</c:v>
                </c:pt>
                <c:pt idx="17">
                  <c:v>-0.1637459672696312</c:v>
                </c:pt>
                <c:pt idx="18">
                  <c:v>-0.18900754867921291</c:v>
                </c:pt>
                <c:pt idx="19">
                  <c:v>-0.28234103156338092</c:v>
                </c:pt>
                <c:pt idx="20">
                  <c:v>-0.21943425671462621</c:v>
                </c:pt>
                <c:pt idx="21">
                  <c:v>-7.3089207920899235E-2</c:v>
                </c:pt>
                <c:pt idx="22">
                  <c:v>-7.7376164839808845E-2</c:v>
                </c:pt>
                <c:pt idx="23">
                  <c:v>-2.9635942364577856E-2</c:v>
                </c:pt>
                <c:pt idx="24">
                  <c:v>-0.20946285671441403</c:v>
                </c:pt>
              </c:numCache>
            </c:numRef>
          </c:val>
          <c:smooth val="0"/>
          <c:extLst>
            <c:ext xmlns:c16="http://schemas.microsoft.com/office/drawing/2014/chart" uri="{C3380CC4-5D6E-409C-BE32-E72D297353CC}">
              <c16:uniqueId val="{00000000-A2A2-F94F-AF8E-9D219BEC936B}"/>
            </c:ext>
          </c:extLst>
        </c:ser>
        <c:ser>
          <c:idx val="1"/>
          <c:order val="1"/>
          <c:tx>
            <c:strRef>
              <c:f>'Inventory turnover'!$J$15:$K$15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turnover'!$L$24:$AJ$24</c:f>
              <c:numCache>
                <c:formatCode>0.000_);[Red]\(0.000\)</c:formatCode>
                <c:ptCount val="25"/>
                <c:pt idx="0" formatCode="General">
                  <c:v>0</c:v>
                </c:pt>
                <c:pt idx="1">
                  <c:v>-3.8549195542439088E-2</c:v>
                </c:pt>
                <c:pt idx="2">
                  <c:v>-2.0373509541224064E-2</c:v>
                </c:pt>
                <c:pt idx="3">
                  <c:v>-3.3251218110751282E-2</c:v>
                </c:pt>
                <c:pt idx="4">
                  <c:v>-3.309598497846851E-2</c:v>
                </c:pt>
                <c:pt idx="5">
                  <c:v>-8.8661666677026379E-3</c:v>
                </c:pt>
                <c:pt idx="6">
                  <c:v>-8.8378248152463729E-2</c:v>
                </c:pt>
                <c:pt idx="7">
                  <c:v>-3.7228757801663917E-2</c:v>
                </c:pt>
                <c:pt idx="8">
                  <c:v>3.3443496944310633E-2</c:v>
                </c:pt>
                <c:pt idx="9">
                  <c:v>9.0539603981977329E-2</c:v>
                </c:pt>
                <c:pt idx="10">
                  <c:v>9.573043870610401E-2</c:v>
                </c:pt>
                <c:pt idx="11">
                  <c:v>0.11733973163037284</c:v>
                </c:pt>
                <c:pt idx="12">
                  <c:v>-7.9323199788833149E-3</c:v>
                </c:pt>
                <c:pt idx="13">
                  <c:v>-6.5610372095760122E-2</c:v>
                </c:pt>
                <c:pt idx="14">
                  <c:v>5.0077819524870046E-2</c:v>
                </c:pt>
                <c:pt idx="15">
                  <c:v>-4.7749562979642592E-2</c:v>
                </c:pt>
                <c:pt idx="16">
                  <c:v>-8.1269895867992492E-2</c:v>
                </c:pt>
                <c:pt idx="17">
                  <c:v>-7.3571771529441485E-2</c:v>
                </c:pt>
                <c:pt idx="18">
                  <c:v>-0.13624622198473127</c:v>
                </c:pt>
                <c:pt idx="19">
                  <c:v>-0.13520361480284179</c:v>
                </c:pt>
                <c:pt idx="20">
                  <c:v>-4.8772811293573616E-2</c:v>
                </c:pt>
                <c:pt idx="21">
                  <c:v>6.2096438801539443E-2</c:v>
                </c:pt>
                <c:pt idx="22">
                  <c:v>6.2581835383796899E-2</c:v>
                </c:pt>
                <c:pt idx="23">
                  <c:v>7.1359574771481318E-2</c:v>
                </c:pt>
                <c:pt idx="24">
                  <c:v>-4.760621331965622E-2</c:v>
                </c:pt>
              </c:numCache>
            </c:numRef>
          </c:val>
          <c:smooth val="0"/>
          <c:extLst>
            <c:ext xmlns:c16="http://schemas.microsoft.com/office/drawing/2014/chart" uri="{C3380CC4-5D6E-409C-BE32-E72D297353CC}">
              <c16:uniqueId val="{00000001-A2A2-F94F-AF8E-9D219BEC936B}"/>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en" altLang="ko-KR" sz="3000" b="1" i="0" u="none" strike="noStrike">
                <a:effectLst/>
              </a:rPr>
              <a:t>Inventory turnover</a:t>
            </a:r>
            <a:endParaRPr lang="ko-KR" altLang="ko-KR" sz="3000">
              <a:effectLst/>
            </a:endParaRPr>
          </a:p>
        </c:rich>
      </c:tx>
      <c:overlay val="0"/>
      <c:spPr>
        <a:noFill/>
        <a:ln>
          <a:noFill/>
        </a:ln>
        <a:effectLst/>
      </c:spPr>
    </c:title>
    <c:autoTitleDeleted val="0"/>
    <c:plotArea>
      <c:layout>
        <c:manualLayout>
          <c:layoutTarget val="inner"/>
          <c:xMode val="edge"/>
          <c:yMode val="edge"/>
          <c:x val="8.1065996223180087E-2"/>
          <c:y val="0.12949672027911263"/>
          <c:w val="0.73197923430302936"/>
          <c:h val="0.73600796748814845"/>
        </c:manualLayout>
      </c:layout>
      <c:lineChart>
        <c:grouping val="standard"/>
        <c:varyColors val="0"/>
        <c:ser>
          <c:idx val="0"/>
          <c:order val="0"/>
          <c:tx>
            <c:strRef>
              <c:f>'Inventory turnover'!$J$2:$K$2</c:f>
              <c:strCache>
                <c:ptCount val="2"/>
                <c:pt idx="0">
                  <c:v>GOOD</c:v>
                </c:pt>
              </c:strCache>
            </c:strRef>
          </c:tx>
          <c:spPr>
            <a:ln w="28575" cap="rnd" cmpd="sng">
              <a:solidFill>
                <a:srgbClr val="FF0000"/>
              </a:solidFill>
              <a:round/>
            </a:ln>
            <a:effectLst/>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turnover'!$L$11:$AJ$11</c:f>
              <c:numCache>
                <c:formatCode>0.000_);[Red]\(0.000\)</c:formatCode>
                <c:ptCount val="25"/>
                <c:pt idx="0" formatCode="General">
                  <c:v>0</c:v>
                </c:pt>
                <c:pt idx="1">
                  <c:v>-6.6257135875091855E-2</c:v>
                </c:pt>
                <c:pt idx="2">
                  <c:v>-4.4460587260448201E-2</c:v>
                </c:pt>
                <c:pt idx="3">
                  <c:v>-3.7021284232970367E-2</c:v>
                </c:pt>
                <c:pt idx="4">
                  <c:v>-9.210814842503981E-3</c:v>
                </c:pt>
                <c:pt idx="5">
                  <c:v>-5.617209204922706E-2</c:v>
                </c:pt>
                <c:pt idx="6">
                  <c:v>-0.10254479777387229</c:v>
                </c:pt>
                <c:pt idx="7">
                  <c:v>-0.10603723913237983</c:v>
                </c:pt>
                <c:pt idx="8">
                  <c:v>-9.4182915000468881E-3</c:v>
                </c:pt>
                <c:pt idx="9">
                  <c:v>6.2564282903309038E-2</c:v>
                </c:pt>
                <c:pt idx="10">
                  <c:v>0.11195923688734422</c:v>
                </c:pt>
                <c:pt idx="11">
                  <c:v>0.16635022209759143</c:v>
                </c:pt>
                <c:pt idx="12">
                  <c:v>-1.0482490266590011E-2</c:v>
                </c:pt>
                <c:pt idx="13">
                  <c:v>-6.9885595221401461E-2</c:v>
                </c:pt>
                <c:pt idx="14">
                  <c:v>5.241867542390144E-3</c:v>
                </c:pt>
                <c:pt idx="15">
                  <c:v>-0.11822813121604496</c:v>
                </c:pt>
                <c:pt idx="16">
                  <c:v>-0.12260861495310889</c:v>
                </c:pt>
                <c:pt idx="17">
                  <c:v>-0.1637459672696312</c:v>
                </c:pt>
                <c:pt idx="18">
                  <c:v>-0.18900754867921291</c:v>
                </c:pt>
                <c:pt idx="19">
                  <c:v>-0.28234103156338092</c:v>
                </c:pt>
                <c:pt idx="20">
                  <c:v>-0.21943425671462621</c:v>
                </c:pt>
                <c:pt idx="21">
                  <c:v>-7.3089207920899235E-2</c:v>
                </c:pt>
                <c:pt idx="22">
                  <c:v>-7.7376164839808845E-2</c:v>
                </c:pt>
                <c:pt idx="23">
                  <c:v>-2.9635942364577856E-2</c:v>
                </c:pt>
                <c:pt idx="24">
                  <c:v>-0.20946285671441403</c:v>
                </c:pt>
              </c:numCache>
            </c:numRef>
          </c:val>
          <c:smooth val="0"/>
          <c:extLst>
            <c:ext xmlns:c16="http://schemas.microsoft.com/office/drawing/2014/chart" uri="{C3380CC4-5D6E-409C-BE32-E72D297353CC}">
              <c16:uniqueId val="{00000000-61FB-2C4A-BC6C-252A7C833B74}"/>
            </c:ext>
          </c:extLst>
        </c:ser>
        <c:ser>
          <c:idx val="1"/>
          <c:order val="1"/>
          <c:tx>
            <c:strRef>
              <c:f>'Inventory turnover'!$J$15:$K$15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turnover'!$L$24:$AJ$24</c:f>
              <c:numCache>
                <c:formatCode>0.000_);[Red]\(0.000\)</c:formatCode>
                <c:ptCount val="25"/>
                <c:pt idx="0" formatCode="General">
                  <c:v>0</c:v>
                </c:pt>
                <c:pt idx="1">
                  <c:v>-3.8549195542439088E-2</c:v>
                </c:pt>
                <c:pt idx="2">
                  <c:v>-2.0373509541224064E-2</c:v>
                </c:pt>
                <c:pt idx="3">
                  <c:v>-3.3251218110751282E-2</c:v>
                </c:pt>
                <c:pt idx="4">
                  <c:v>-3.309598497846851E-2</c:v>
                </c:pt>
                <c:pt idx="5">
                  <c:v>-8.8661666677026379E-3</c:v>
                </c:pt>
                <c:pt idx="6">
                  <c:v>-8.8378248152463729E-2</c:v>
                </c:pt>
                <c:pt idx="7">
                  <c:v>-3.7228757801663917E-2</c:v>
                </c:pt>
                <c:pt idx="8">
                  <c:v>3.3443496944310633E-2</c:v>
                </c:pt>
                <c:pt idx="9">
                  <c:v>9.0539603981977329E-2</c:v>
                </c:pt>
                <c:pt idx="10">
                  <c:v>9.573043870610401E-2</c:v>
                </c:pt>
                <c:pt idx="11">
                  <c:v>0.11733973163037284</c:v>
                </c:pt>
                <c:pt idx="12">
                  <c:v>-7.9323199788833149E-3</c:v>
                </c:pt>
                <c:pt idx="13">
                  <c:v>-6.5610372095760122E-2</c:v>
                </c:pt>
                <c:pt idx="14">
                  <c:v>5.0077819524870046E-2</c:v>
                </c:pt>
                <c:pt idx="15">
                  <c:v>-4.7749562979642592E-2</c:v>
                </c:pt>
                <c:pt idx="16">
                  <c:v>-8.1269895867992492E-2</c:v>
                </c:pt>
                <c:pt idx="17">
                  <c:v>-7.3571771529441485E-2</c:v>
                </c:pt>
                <c:pt idx="18">
                  <c:v>-0.13624622198473127</c:v>
                </c:pt>
                <c:pt idx="19">
                  <c:v>-0.13520361480284179</c:v>
                </c:pt>
                <c:pt idx="20">
                  <c:v>-4.8772811293573616E-2</c:v>
                </c:pt>
                <c:pt idx="21">
                  <c:v>6.2096438801539443E-2</c:v>
                </c:pt>
                <c:pt idx="22">
                  <c:v>6.2581835383796899E-2</c:v>
                </c:pt>
                <c:pt idx="23">
                  <c:v>7.1359574771481318E-2</c:v>
                </c:pt>
                <c:pt idx="24">
                  <c:v>-4.760621331965622E-2</c:v>
                </c:pt>
              </c:numCache>
            </c:numRef>
          </c:val>
          <c:smooth val="0"/>
          <c:extLst>
            <c:ext xmlns:c16="http://schemas.microsoft.com/office/drawing/2014/chart" uri="{C3380CC4-5D6E-409C-BE32-E72D297353CC}">
              <c16:uniqueId val="{00000001-61FB-2C4A-BC6C-252A7C833B74}"/>
            </c:ext>
          </c:extLst>
        </c:ser>
        <c:ser>
          <c:idx val="2"/>
          <c:order val="2"/>
          <c:tx>
            <c:strRef>
              <c:f>'Inventory turnover'!$J$68:$K$68</c:f>
              <c:strCache>
                <c:ptCount val="2"/>
                <c:pt idx="0">
                  <c:v>Industry average</c:v>
                </c:pt>
              </c:strCache>
            </c:strRef>
          </c:tx>
          <c:spPr>
            <a:ln w="28575">
              <a:solidFill>
                <a:schemeClr val="accent6"/>
              </a:solidFill>
            </a:ln>
          </c:spPr>
          <c:marker>
            <c:symbol val="none"/>
          </c:marker>
          <c:cat>
            <c:strRef>
              <c:f>'Inventory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'Inventory turnover'!$L$73:$AJ$73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61FB-2C4A-BC6C-252A7C833B74}"/>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Average sale period</a:t>
            </a:r>
            <a:r>
              <a:rPr lang="ko-KR" altLang="ko-KR" sz="3000">
                <a:effectLst/>
              </a:rPr>
              <a:t> </a:t>
            </a:r>
          </a:p>
        </c:rich>
      </c:tx>
      <c:overlay val="0"/>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'Average sale period'!$J$2:$K$2</c:f>
              <c:strCache>
                <c:ptCount val="2"/>
                <c:pt idx="0">
                  <c:v>GOOD</c:v>
                </c:pt>
              </c:strCache>
            </c:strRef>
          </c:tx>
          <c:spPr>
            <a:ln w="28575" cap="rnd" cmpd="sng">
              <a:solidFill>
                <a:srgbClr val="FF0000"/>
              </a:solidFill>
              <a:round/>
            </a:ln>
            <a:effectLst/>
          </c:spPr>
          <c:marker>
            <c:symbol val="none"/>
          </c:marker>
          <c:cat>
            <c:strRef>
              <c:f>'Average sale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sale period'!$L$11:$AJ$11</c:f>
              <c:numCache>
                <c:formatCode>0.000_);[Red]\(0.000\)</c:formatCode>
                <c:ptCount val="25"/>
                <c:pt idx="0" formatCode="General">
                  <c:v>0</c:v>
                </c:pt>
                <c:pt idx="1">
                  <c:v>-7.3955964286236839E-2</c:v>
                </c:pt>
                <c:pt idx="2">
                  <c:v>-6.4574104198623181E-2</c:v>
                </c:pt>
                <c:pt idx="3">
                  <c:v>-6.8585381174923035E-2</c:v>
                </c:pt>
                <c:pt idx="4">
                  <c:v>-1.8950605412975982E-2</c:v>
                </c:pt>
                <c:pt idx="5">
                  <c:v>-7.2260699803519707E-2</c:v>
                </c:pt>
                <c:pt idx="6">
                  <c:v>-0.13925844432482243</c:v>
                </c:pt>
                <c:pt idx="7">
                  <c:v>-0.11732104779554722</c:v>
                </c:pt>
                <c:pt idx="8">
                  <c:v>-8.4381989311752004E-3</c:v>
                </c:pt>
                <c:pt idx="9">
                  <c:v>7.202915592231747E-2</c:v>
                </c:pt>
                <c:pt idx="10">
                  <c:v>0.14661672112372684</c:v>
                </c:pt>
                <c:pt idx="11">
                  <c:v>0.14421900156182649</c:v>
                </c:pt>
                <c:pt idx="12">
                  <c:v>-5.0539250887421727E-2</c:v>
                </c:pt>
                <c:pt idx="13">
                  <c:v>-0.10684605532281882</c:v>
                </c:pt>
                <c:pt idx="14">
                  <c:v>-3.7709160648936021E-2</c:v>
                </c:pt>
                <c:pt idx="15">
                  <c:v>-0.1461157124932809</c:v>
                </c:pt>
                <c:pt idx="16">
                  <c:v>-0.18670242559028449</c:v>
                </c:pt>
                <c:pt idx="17">
                  <c:v>-0.1984224969515406</c:v>
                </c:pt>
                <c:pt idx="18">
                  <c:v>-0.22300765495251409</c:v>
                </c:pt>
                <c:pt idx="19">
                  <c:v>-0.26495815873051481</c:v>
                </c:pt>
                <c:pt idx="20">
                  <c:v>-0.18983168841165335</c:v>
                </c:pt>
                <c:pt idx="21">
                  <c:v>-4.3868658318538235E-2</c:v>
                </c:pt>
                <c:pt idx="22">
                  <c:v>3.8422047819194893E-3</c:v>
                </c:pt>
                <c:pt idx="23">
                  <c:v>4.7347835183757091E-2</c:v>
                </c:pt>
                <c:pt idx="24">
                  <c:v>-0.16411453285149627</c:v>
                </c:pt>
              </c:numCache>
            </c:numRef>
          </c:val>
          <c:smooth val="0"/>
          <c:extLst>
            <c:ext xmlns:c16="http://schemas.microsoft.com/office/drawing/2014/chart" uri="{C3380CC4-5D6E-409C-BE32-E72D297353CC}">
              <c16:uniqueId val="{00000000-19A4-F94F-B574-7B6B691D4642}"/>
            </c:ext>
          </c:extLst>
        </c:ser>
        <c:ser>
          <c:idx val="1"/>
          <c:order val="1"/>
          <c:tx>
            <c:strRef>
              <c:f>'Average sale period'!$J$15:$K$15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'Average sale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sale period'!$L$24:$AJ$24</c:f>
              <c:numCache>
                <c:formatCode>0.000_);[Red]\(0.000\)</c:formatCode>
                <c:ptCount val="25"/>
                <c:pt idx="0" formatCode="General">
                  <c:v>0</c:v>
                </c:pt>
                <c:pt idx="1">
                  <c:v>-6.6020643087268543E-2</c:v>
                </c:pt>
                <c:pt idx="2">
                  <c:v>-5.4604008356084366E-2</c:v>
                </c:pt>
                <c:pt idx="3">
                  <c:v>-8.8266971018674589E-2</c:v>
                </c:pt>
                <c:pt idx="4">
                  <c:v>-8.6513275338903503E-2</c:v>
                </c:pt>
                <c:pt idx="5">
                  <c:v>-9.9891275163336873E-2</c:v>
                </c:pt>
                <c:pt idx="6">
                  <c:v>-0.1533373119261433</c:v>
                </c:pt>
                <c:pt idx="7">
                  <c:v>-0.13579567578812934</c:v>
                </c:pt>
                <c:pt idx="8">
                  <c:v>-7.3095681455824915E-2</c:v>
                </c:pt>
                <c:pt idx="9">
                  <c:v>-8.0136199905929129E-3</c:v>
                </c:pt>
                <c:pt idx="10">
                  <c:v>1.3115706124172496E-2</c:v>
                </c:pt>
                <c:pt idx="11">
                  <c:v>4.2311071074148207E-2</c:v>
                </c:pt>
                <c:pt idx="12">
                  <c:v>-0.12590130614546399</c:v>
                </c:pt>
                <c:pt idx="13">
                  <c:v>-0.15748143416088239</c:v>
                </c:pt>
                <c:pt idx="14">
                  <c:v>-7.4246852615418829E-2</c:v>
                </c:pt>
                <c:pt idx="15">
                  <c:v>-0.14338356790508228</c:v>
                </c:pt>
                <c:pt idx="16">
                  <c:v>-0.1643332026349778</c:v>
                </c:pt>
                <c:pt idx="17">
                  <c:v>-0.14782552216774483</c:v>
                </c:pt>
                <c:pt idx="18">
                  <c:v>-0.21434320531450946</c:v>
                </c:pt>
                <c:pt idx="19">
                  <c:v>-0.22095991542272322</c:v>
                </c:pt>
                <c:pt idx="20">
                  <c:v>-0.15301680154611544</c:v>
                </c:pt>
                <c:pt idx="21">
                  <c:v>-8.1325804535866034E-2</c:v>
                </c:pt>
                <c:pt idx="22">
                  <c:v>-0.11172217154543057</c:v>
                </c:pt>
                <c:pt idx="23">
                  <c:v>-9.8266718802823602E-2</c:v>
                </c:pt>
                <c:pt idx="24">
                  <c:v>-0.17260556693649312</c:v>
                </c:pt>
              </c:numCache>
            </c:numRef>
          </c:val>
          <c:smooth val="0"/>
          <c:extLst>
            <c:ext xmlns:c16="http://schemas.microsoft.com/office/drawing/2014/chart" uri="{C3380CC4-5D6E-409C-BE32-E72D297353CC}">
              <c16:uniqueId val="{00000001-19A4-F94F-B574-7B6B691D4642}"/>
            </c:ext>
          </c:extLst>
        </c:ser>
        <c:ser>
          <c:idx val="2"/>
          <c:order val="2"/>
          <c:tx>
            <c:strRef>
              <c:f>'Average sale period'!$J$26:$K$26</c:f>
              <c:strCache>
                <c:ptCount val="2"/>
                <c:pt idx="0">
                  <c:v>S&amp;P 500</c:v>
                </c:pt>
              </c:strCache>
            </c:strRef>
          </c:tx>
          <c:spPr>
            <a:ln w="28575">
              <a:solidFill>
                <a:schemeClr val="accent4"/>
              </a:solidFill>
            </a:ln>
          </c:spPr>
          <c:marker>
            <c:symbol val="none"/>
          </c:marker>
          <c:cat>
            <c:strRef>
              <c:f>'Average sale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sale period'!$L$31:$AJ$31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0.20531230398190772</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19A4-F94F-B574-7B6B691D4642}"/>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Average sale period</a:t>
            </a:r>
            <a:r>
              <a:rPr lang="ko-KR" altLang="ko-KR" sz="3000">
                <a:effectLst/>
              </a:rPr>
              <a:t> </a:t>
            </a:r>
          </a:p>
        </c:rich>
      </c:tx>
      <c:overlay val="0"/>
      <c:spPr>
        <a:noFill/>
        <a:ln>
          <a:noFill/>
        </a:ln>
        <a:effectLst/>
      </c:spPr>
    </c:title>
    <c:autoTitleDeleted val="0"/>
    <c:plotArea>
      <c:layout>
        <c:manualLayout>
          <c:layoutTarget val="inner"/>
          <c:xMode val="edge"/>
          <c:yMode val="edge"/>
          <c:x val="0.12879517305587951"/>
          <c:y val="0.12953117835268929"/>
          <c:w val="0.73197923430302936"/>
          <c:h val="0.73600796748814845"/>
        </c:manualLayout>
      </c:layout>
      <c:lineChart>
        <c:grouping val="standard"/>
        <c:varyColors val="0"/>
        <c:ser>
          <c:idx val="0"/>
          <c:order val="0"/>
          <c:tx>
            <c:strRef>
              <c:f>'Average sale period'!$J$2:$K$2</c:f>
              <c:strCache>
                <c:ptCount val="2"/>
                <c:pt idx="0">
                  <c:v>GOOD</c:v>
                </c:pt>
              </c:strCache>
            </c:strRef>
          </c:tx>
          <c:spPr>
            <a:ln w="28575" cap="rnd" cmpd="sng">
              <a:solidFill>
                <a:srgbClr val="FF0000"/>
              </a:solidFill>
              <a:round/>
            </a:ln>
            <a:effectLst/>
          </c:spPr>
          <c:marker>
            <c:symbol val="none"/>
          </c:marker>
          <c:cat>
            <c:strRef>
              <c:f>'Average sale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sale period'!$L$11:$AJ$11</c:f>
              <c:numCache>
                <c:formatCode>0.000_);[Red]\(0.000\)</c:formatCode>
                <c:ptCount val="25"/>
                <c:pt idx="0" formatCode="General">
                  <c:v>0</c:v>
                </c:pt>
                <c:pt idx="1">
                  <c:v>-7.3955964286236839E-2</c:v>
                </c:pt>
                <c:pt idx="2">
                  <c:v>-6.4574104198623181E-2</c:v>
                </c:pt>
                <c:pt idx="3">
                  <c:v>-6.8585381174923035E-2</c:v>
                </c:pt>
                <c:pt idx="4">
                  <c:v>-1.8950605412975982E-2</c:v>
                </c:pt>
                <c:pt idx="5">
                  <c:v>-7.2260699803519707E-2</c:v>
                </c:pt>
                <c:pt idx="6">
                  <c:v>-0.13925844432482243</c:v>
                </c:pt>
                <c:pt idx="7">
                  <c:v>-0.11732104779554722</c:v>
                </c:pt>
                <c:pt idx="8">
                  <c:v>-8.4381989311752004E-3</c:v>
                </c:pt>
                <c:pt idx="9">
                  <c:v>7.202915592231747E-2</c:v>
                </c:pt>
                <c:pt idx="10">
                  <c:v>0.14661672112372684</c:v>
                </c:pt>
                <c:pt idx="11">
                  <c:v>0.14421900156182649</c:v>
                </c:pt>
                <c:pt idx="12">
                  <c:v>-5.0539250887421727E-2</c:v>
                </c:pt>
                <c:pt idx="13">
                  <c:v>-0.10684605532281882</c:v>
                </c:pt>
                <c:pt idx="14">
                  <c:v>-3.7709160648936021E-2</c:v>
                </c:pt>
                <c:pt idx="15">
                  <c:v>-0.1461157124932809</c:v>
                </c:pt>
                <c:pt idx="16">
                  <c:v>-0.18670242559028449</c:v>
                </c:pt>
                <c:pt idx="17">
                  <c:v>-0.1984224969515406</c:v>
                </c:pt>
                <c:pt idx="18">
                  <c:v>-0.22300765495251409</c:v>
                </c:pt>
                <c:pt idx="19">
                  <c:v>-0.26495815873051481</c:v>
                </c:pt>
                <c:pt idx="20">
                  <c:v>-0.18983168841165335</c:v>
                </c:pt>
                <c:pt idx="21">
                  <c:v>-4.3868658318538235E-2</c:v>
                </c:pt>
                <c:pt idx="22">
                  <c:v>3.8422047819194893E-3</c:v>
                </c:pt>
                <c:pt idx="23">
                  <c:v>4.7347835183757091E-2</c:v>
                </c:pt>
                <c:pt idx="24">
                  <c:v>-0.16411453285149627</c:v>
                </c:pt>
              </c:numCache>
            </c:numRef>
          </c:val>
          <c:smooth val="0"/>
          <c:extLst>
            <c:ext xmlns:c16="http://schemas.microsoft.com/office/drawing/2014/chart" uri="{C3380CC4-5D6E-409C-BE32-E72D297353CC}">
              <c16:uniqueId val="{00000000-9E23-804A-ACDD-277D4D1E22EC}"/>
            </c:ext>
          </c:extLst>
        </c:ser>
        <c:ser>
          <c:idx val="1"/>
          <c:order val="1"/>
          <c:tx>
            <c:strRef>
              <c:f>'Average sale period'!$J$15:$K$15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'Average sale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sale period'!$L$24:$AJ$24</c:f>
              <c:numCache>
                <c:formatCode>0.000_);[Red]\(0.000\)</c:formatCode>
                <c:ptCount val="25"/>
                <c:pt idx="0" formatCode="General">
                  <c:v>0</c:v>
                </c:pt>
                <c:pt idx="1">
                  <c:v>-6.6020643087268543E-2</c:v>
                </c:pt>
                <c:pt idx="2">
                  <c:v>-5.4604008356084366E-2</c:v>
                </c:pt>
                <c:pt idx="3">
                  <c:v>-8.8266971018674589E-2</c:v>
                </c:pt>
                <c:pt idx="4">
                  <c:v>-8.6513275338903503E-2</c:v>
                </c:pt>
                <c:pt idx="5">
                  <c:v>-9.9891275163336873E-2</c:v>
                </c:pt>
                <c:pt idx="6">
                  <c:v>-0.1533373119261433</c:v>
                </c:pt>
                <c:pt idx="7">
                  <c:v>-0.13579567578812934</c:v>
                </c:pt>
                <c:pt idx="8">
                  <c:v>-7.3095681455824915E-2</c:v>
                </c:pt>
                <c:pt idx="9">
                  <c:v>-8.0136199905929129E-3</c:v>
                </c:pt>
                <c:pt idx="10">
                  <c:v>1.3115706124172496E-2</c:v>
                </c:pt>
                <c:pt idx="11">
                  <c:v>4.2311071074148207E-2</c:v>
                </c:pt>
                <c:pt idx="12">
                  <c:v>-0.12590130614546399</c:v>
                </c:pt>
                <c:pt idx="13">
                  <c:v>-0.15748143416088239</c:v>
                </c:pt>
                <c:pt idx="14">
                  <c:v>-7.4246852615418829E-2</c:v>
                </c:pt>
                <c:pt idx="15">
                  <c:v>-0.14338356790508228</c:v>
                </c:pt>
                <c:pt idx="16">
                  <c:v>-0.1643332026349778</c:v>
                </c:pt>
                <c:pt idx="17">
                  <c:v>-0.14782552216774483</c:v>
                </c:pt>
                <c:pt idx="18">
                  <c:v>-0.21434320531450946</c:v>
                </c:pt>
                <c:pt idx="19">
                  <c:v>-0.22095991542272322</c:v>
                </c:pt>
                <c:pt idx="20">
                  <c:v>-0.15301680154611544</c:v>
                </c:pt>
                <c:pt idx="21">
                  <c:v>-8.1325804535866034E-2</c:v>
                </c:pt>
                <c:pt idx="22">
                  <c:v>-0.11172217154543057</c:v>
                </c:pt>
                <c:pt idx="23">
                  <c:v>-9.8266718802823602E-2</c:v>
                </c:pt>
                <c:pt idx="24">
                  <c:v>-0.17260556693649312</c:v>
                </c:pt>
              </c:numCache>
            </c:numRef>
          </c:val>
          <c:smooth val="0"/>
          <c:extLst>
            <c:ext xmlns:c16="http://schemas.microsoft.com/office/drawing/2014/chart" uri="{C3380CC4-5D6E-409C-BE32-E72D297353CC}">
              <c16:uniqueId val="{00000001-9E23-804A-ACDD-277D4D1E22EC}"/>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Average sale period</a:t>
            </a:r>
            <a:r>
              <a:rPr lang="ko-KR" altLang="ko-KR" sz="3000">
                <a:effectLst/>
              </a:rPr>
              <a:t> </a:t>
            </a:r>
          </a:p>
        </c:rich>
      </c:tx>
      <c:overlay val="0"/>
      <c:spPr>
        <a:noFill/>
        <a:ln>
          <a:noFill/>
        </a:ln>
        <a:effectLst/>
      </c:spPr>
    </c:title>
    <c:autoTitleDeleted val="0"/>
    <c:plotArea>
      <c:layout>
        <c:manualLayout>
          <c:layoutTarget val="inner"/>
          <c:xMode val="edge"/>
          <c:yMode val="edge"/>
          <c:x val="7.2259200772984492E-2"/>
          <c:y val="0.12953688189831231"/>
          <c:w val="0.73197923430302936"/>
          <c:h val="0.73600796748814845"/>
        </c:manualLayout>
      </c:layout>
      <c:lineChart>
        <c:grouping val="standard"/>
        <c:varyColors val="0"/>
        <c:ser>
          <c:idx val="0"/>
          <c:order val="0"/>
          <c:tx>
            <c:strRef>
              <c:f>'Average sale period'!$J$2:$K$2</c:f>
              <c:strCache>
                <c:ptCount val="2"/>
                <c:pt idx="0">
                  <c:v>GOOD</c:v>
                </c:pt>
              </c:strCache>
            </c:strRef>
          </c:tx>
          <c:spPr>
            <a:ln w="28575" cap="rnd" cmpd="sng">
              <a:solidFill>
                <a:srgbClr val="FF0000"/>
              </a:solidFill>
              <a:round/>
            </a:ln>
            <a:effectLst/>
          </c:spPr>
          <c:marker>
            <c:symbol val="none"/>
          </c:marker>
          <c:cat>
            <c:strRef>
              <c:f>'Average sale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sale period'!$L$11:$AJ$11</c:f>
              <c:numCache>
                <c:formatCode>0.000_);[Red]\(0.000\)</c:formatCode>
                <c:ptCount val="25"/>
                <c:pt idx="0" formatCode="General">
                  <c:v>0</c:v>
                </c:pt>
                <c:pt idx="1">
                  <c:v>-7.3955964286236839E-2</c:v>
                </c:pt>
                <c:pt idx="2">
                  <c:v>-6.4574104198623181E-2</c:v>
                </c:pt>
                <c:pt idx="3">
                  <c:v>-6.8585381174923035E-2</c:v>
                </c:pt>
                <c:pt idx="4">
                  <c:v>-1.8950605412975982E-2</c:v>
                </c:pt>
                <c:pt idx="5">
                  <c:v>-7.2260699803519707E-2</c:v>
                </c:pt>
                <c:pt idx="6">
                  <c:v>-0.13925844432482243</c:v>
                </c:pt>
                <c:pt idx="7">
                  <c:v>-0.11732104779554722</c:v>
                </c:pt>
                <c:pt idx="8">
                  <c:v>-8.4381989311752004E-3</c:v>
                </c:pt>
                <c:pt idx="9">
                  <c:v>7.202915592231747E-2</c:v>
                </c:pt>
                <c:pt idx="10">
                  <c:v>0.14661672112372684</c:v>
                </c:pt>
                <c:pt idx="11">
                  <c:v>0.14421900156182649</c:v>
                </c:pt>
                <c:pt idx="12">
                  <c:v>-5.0539250887421727E-2</c:v>
                </c:pt>
                <c:pt idx="13">
                  <c:v>-0.10684605532281882</c:v>
                </c:pt>
                <c:pt idx="14">
                  <c:v>-3.7709160648936021E-2</c:v>
                </c:pt>
                <c:pt idx="15">
                  <c:v>-0.1461157124932809</c:v>
                </c:pt>
                <c:pt idx="16">
                  <c:v>-0.18670242559028449</c:v>
                </c:pt>
                <c:pt idx="17">
                  <c:v>-0.1984224969515406</c:v>
                </c:pt>
                <c:pt idx="18">
                  <c:v>-0.22300765495251409</c:v>
                </c:pt>
                <c:pt idx="19">
                  <c:v>-0.26495815873051481</c:v>
                </c:pt>
                <c:pt idx="20">
                  <c:v>-0.18983168841165335</c:v>
                </c:pt>
                <c:pt idx="21">
                  <c:v>-4.3868658318538235E-2</c:v>
                </c:pt>
                <c:pt idx="22">
                  <c:v>3.8422047819194893E-3</c:v>
                </c:pt>
                <c:pt idx="23">
                  <c:v>4.7347835183757091E-2</c:v>
                </c:pt>
                <c:pt idx="24">
                  <c:v>-0.16411453285149627</c:v>
                </c:pt>
              </c:numCache>
            </c:numRef>
          </c:val>
          <c:smooth val="0"/>
          <c:extLst>
            <c:ext xmlns:c16="http://schemas.microsoft.com/office/drawing/2014/chart" uri="{C3380CC4-5D6E-409C-BE32-E72D297353CC}">
              <c16:uniqueId val="{00000000-60DB-DD45-9D0C-06240FB48DF3}"/>
            </c:ext>
          </c:extLst>
        </c:ser>
        <c:ser>
          <c:idx val="1"/>
          <c:order val="1"/>
          <c:tx>
            <c:strRef>
              <c:f>'Average sale period'!$J$15:$K$15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'Average sale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sale period'!$L$24:$AJ$24</c:f>
              <c:numCache>
                <c:formatCode>0.000_);[Red]\(0.000\)</c:formatCode>
                <c:ptCount val="25"/>
                <c:pt idx="0" formatCode="General">
                  <c:v>0</c:v>
                </c:pt>
                <c:pt idx="1">
                  <c:v>-6.6020643087268543E-2</c:v>
                </c:pt>
                <c:pt idx="2">
                  <c:v>-5.4604008356084366E-2</c:v>
                </c:pt>
                <c:pt idx="3">
                  <c:v>-8.8266971018674589E-2</c:v>
                </c:pt>
                <c:pt idx="4">
                  <c:v>-8.6513275338903503E-2</c:v>
                </c:pt>
                <c:pt idx="5">
                  <c:v>-9.9891275163336873E-2</c:v>
                </c:pt>
                <c:pt idx="6">
                  <c:v>-0.1533373119261433</c:v>
                </c:pt>
                <c:pt idx="7">
                  <c:v>-0.13579567578812934</c:v>
                </c:pt>
                <c:pt idx="8">
                  <c:v>-7.3095681455824915E-2</c:v>
                </c:pt>
                <c:pt idx="9">
                  <c:v>-8.0136199905929129E-3</c:v>
                </c:pt>
                <c:pt idx="10">
                  <c:v>1.3115706124172496E-2</c:v>
                </c:pt>
                <c:pt idx="11">
                  <c:v>4.2311071074148207E-2</c:v>
                </c:pt>
                <c:pt idx="12">
                  <c:v>-0.12590130614546399</c:v>
                </c:pt>
                <c:pt idx="13">
                  <c:v>-0.15748143416088239</c:v>
                </c:pt>
                <c:pt idx="14">
                  <c:v>-7.4246852615418829E-2</c:v>
                </c:pt>
                <c:pt idx="15">
                  <c:v>-0.14338356790508228</c:v>
                </c:pt>
                <c:pt idx="16">
                  <c:v>-0.1643332026349778</c:v>
                </c:pt>
                <c:pt idx="17">
                  <c:v>-0.14782552216774483</c:v>
                </c:pt>
                <c:pt idx="18">
                  <c:v>-0.21434320531450946</c:v>
                </c:pt>
                <c:pt idx="19">
                  <c:v>-0.22095991542272322</c:v>
                </c:pt>
                <c:pt idx="20">
                  <c:v>-0.15301680154611544</c:v>
                </c:pt>
                <c:pt idx="21">
                  <c:v>-8.1325804535866034E-2</c:v>
                </c:pt>
                <c:pt idx="22">
                  <c:v>-0.11172217154543057</c:v>
                </c:pt>
                <c:pt idx="23">
                  <c:v>-9.8266718802823602E-2</c:v>
                </c:pt>
                <c:pt idx="24">
                  <c:v>-0.17260556693649312</c:v>
                </c:pt>
              </c:numCache>
            </c:numRef>
          </c:val>
          <c:smooth val="0"/>
          <c:extLst>
            <c:ext xmlns:c16="http://schemas.microsoft.com/office/drawing/2014/chart" uri="{C3380CC4-5D6E-409C-BE32-E72D297353CC}">
              <c16:uniqueId val="{00000001-60DB-DD45-9D0C-06240FB48DF3}"/>
            </c:ext>
          </c:extLst>
        </c:ser>
        <c:ser>
          <c:idx val="2"/>
          <c:order val="2"/>
          <c:tx>
            <c:strRef>
              <c:f>'Average sale period'!$J$68:$K$68</c:f>
              <c:strCache>
                <c:ptCount val="2"/>
                <c:pt idx="0">
                  <c:v>Industry average</c:v>
                </c:pt>
              </c:strCache>
            </c:strRef>
          </c:tx>
          <c:spPr>
            <a:ln w="28575">
              <a:solidFill>
                <a:schemeClr val="accent6"/>
              </a:solidFill>
            </a:ln>
          </c:spPr>
          <c:marker>
            <c:symbol val="none"/>
          </c:marker>
          <c:cat>
            <c:strRef>
              <c:f>'Average sale period'!$L$2:$AJ$2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'Average sale period'!$L$73:$AJ$73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60DB-DD45-9D0C-06240FB48DF3}"/>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0581632003785475"/>
          <c:y val="0.11204866619026434"/>
          <c:w val="0.18564753285184385"/>
          <c:h val="0.15158892027872439"/>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Operating cycle</a:t>
            </a:r>
            <a:r>
              <a:rPr lang="ko-KR" altLang="ko-KR" sz="3000">
                <a:effectLst/>
              </a:rPr>
              <a:t> </a:t>
            </a:r>
          </a:p>
        </c:rich>
      </c:tx>
      <c:overlay val="0"/>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'Operating cycle'!$J$2:$K$2</c:f>
              <c:strCache>
                <c:ptCount val="2"/>
                <c:pt idx="0">
                  <c:v>GOOD</c:v>
                </c:pt>
              </c:strCache>
            </c:strRef>
          </c:tx>
          <c:spPr>
            <a:ln w="28575" cap="rnd" cmpd="sng">
              <a:solidFill>
                <a:srgbClr val="FF0000"/>
              </a:solidFill>
              <a:round/>
            </a:ln>
            <a:effectLst/>
          </c:spPr>
          <c:marker>
            <c:symbol val="none"/>
          </c:marker>
          <c:cat>
            <c:strRef>
              <c:f>'Operating cycle'!$L$2:$AJ$2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'Operating cycle'!$L$11:$AJ$11</c:f>
              <c:numCache>
                <c:formatCode>0.000_);[Red]\(0.000\)</c:formatCode>
                <c:ptCount val="25"/>
                <c:pt idx="0" formatCode="General">
                  <c:v>0</c:v>
                </c:pt>
                <c:pt idx="1">
                  <c:v>-0.17292400317188827</c:v>
                </c:pt>
                <c:pt idx="2">
                  <c:v>-0.14676924372055017</c:v>
                </c:pt>
                <c:pt idx="3">
                  <c:v>-0.15465385591239483</c:v>
                </c:pt>
                <c:pt idx="4">
                  <c:v>-0.11225564690214784</c:v>
                </c:pt>
                <c:pt idx="5">
                  <c:v>-0.19172557722424169</c:v>
                </c:pt>
                <c:pt idx="6">
                  <c:v>-0.24792005678667095</c:v>
                </c:pt>
                <c:pt idx="7">
                  <c:v>-0.21596295105984897</c:v>
                </c:pt>
                <c:pt idx="8">
                  <c:v>-0.12144691638950939</c:v>
                </c:pt>
                <c:pt idx="9">
                  <c:v>-5.8182376767307642E-2</c:v>
                </c:pt>
                <c:pt idx="10">
                  <c:v>8.8131376233380743E-3</c:v>
                </c:pt>
                <c:pt idx="11">
                  <c:v>8.0756053492350294E-3</c:v>
                </c:pt>
                <c:pt idx="12">
                  <c:v>-0.14870828105693762</c:v>
                </c:pt>
                <c:pt idx="13">
                  <c:v>-0.24898961907941164</c:v>
                </c:pt>
                <c:pt idx="14">
                  <c:v>-0.1353622323316393</c:v>
                </c:pt>
                <c:pt idx="15">
                  <c:v>-0.33902380298519003</c:v>
                </c:pt>
                <c:pt idx="16">
                  <c:v>-0.357425837252975</c:v>
                </c:pt>
                <c:pt idx="17">
                  <c:v>-0.42282847929178474</c:v>
                </c:pt>
                <c:pt idx="18">
                  <c:v>-0.40991060717219757</c:v>
                </c:pt>
                <c:pt idx="19">
                  <c:v>-0.4561774475699128</c:v>
                </c:pt>
                <c:pt idx="20">
                  <c:v>-0.3938915428021012</c:v>
                </c:pt>
                <c:pt idx="21">
                  <c:v>-0.26970335105397053</c:v>
                </c:pt>
                <c:pt idx="22">
                  <c:v>-0.28191897062285587</c:v>
                </c:pt>
                <c:pt idx="23">
                  <c:v>-0.23446794087356695</c:v>
                </c:pt>
                <c:pt idx="24">
                  <c:v>-0.36011032695413903</c:v>
                </c:pt>
              </c:numCache>
            </c:numRef>
          </c:val>
          <c:smooth val="0"/>
          <c:extLst>
            <c:ext xmlns:c16="http://schemas.microsoft.com/office/drawing/2014/chart" uri="{C3380CC4-5D6E-409C-BE32-E72D297353CC}">
              <c16:uniqueId val="{00000000-95CD-0049-B665-6D076F247338}"/>
            </c:ext>
          </c:extLst>
        </c:ser>
        <c:ser>
          <c:idx val="1"/>
          <c:order val="1"/>
          <c:tx>
            <c:strRef>
              <c:f>'Operating cycle'!$J$15:$K$15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'Operating cycle'!$L$2:$AJ$2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'Operating cycle'!$L$24:$AJ$24</c:f>
              <c:numCache>
                <c:formatCode>0.000_);[Red]\(0.000\)</c:formatCode>
                <c:ptCount val="25"/>
                <c:pt idx="0" formatCode="General">
                  <c:v>0</c:v>
                </c:pt>
                <c:pt idx="1">
                  <c:v>-2.7528151877032059E-2</c:v>
                </c:pt>
                <c:pt idx="2">
                  <c:v>3.6257501821421456E-3</c:v>
                </c:pt>
                <c:pt idx="3">
                  <c:v>-1.6451836477995446E-3</c:v>
                </c:pt>
                <c:pt idx="4">
                  <c:v>-6.2245198668074014E-3</c:v>
                </c:pt>
                <c:pt idx="5">
                  <c:v>2.4790502732296021E-3</c:v>
                </c:pt>
                <c:pt idx="6">
                  <c:v>-7.0309571826086659E-2</c:v>
                </c:pt>
                <c:pt idx="7">
                  <c:v>-1.6643836289492842E-2</c:v>
                </c:pt>
                <c:pt idx="8">
                  <c:v>8.4214284364543507E-2</c:v>
                </c:pt>
                <c:pt idx="9">
                  <c:v>0.12388721616577503</c:v>
                </c:pt>
                <c:pt idx="10">
                  <c:v>0.13276970588250672</c:v>
                </c:pt>
                <c:pt idx="11">
                  <c:v>0.10665946337007334</c:v>
                </c:pt>
                <c:pt idx="12">
                  <c:v>1.415017178231151E-2</c:v>
                </c:pt>
                <c:pt idx="13">
                  <c:v>-1.041192248547429E-3</c:v>
                </c:pt>
                <c:pt idx="14">
                  <c:v>9.6508150050305053E-2</c:v>
                </c:pt>
                <c:pt idx="15">
                  <c:v>-5.1041666993257927E-2</c:v>
                </c:pt>
                <c:pt idx="16">
                  <c:v>-8.0740090767861691E-2</c:v>
                </c:pt>
                <c:pt idx="17">
                  <c:v>-5.9288113770834316E-2</c:v>
                </c:pt>
                <c:pt idx="18">
                  <c:v>-8.7400543145592161E-2</c:v>
                </c:pt>
                <c:pt idx="19">
                  <c:v>-4.1748294610374215E-2</c:v>
                </c:pt>
                <c:pt idx="20">
                  <c:v>6.2351769830085169E-2</c:v>
                </c:pt>
                <c:pt idx="21">
                  <c:v>0.13612365896017023</c:v>
                </c:pt>
                <c:pt idx="22">
                  <c:v>0.1376171457887467</c:v>
                </c:pt>
                <c:pt idx="23">
                  <c:v>0.1003486196842584</c:v>
                </c:pt>
                <c:pt idx="24">
                  <c:v>-6.6079911813838058E-2</c:v>
                </c:pt>
              </c:numCache>
            </c:numRef>
          </c:val>
          <c:smooth val="0"/>
          <c:extLst>
            <c:ext xmlns:c16="http://schemas.microsoft.com/office/drawing/2014/chart" uri="{C3380CC4-5D6E-409C-BE32-E72D297353CC}">
              <c16:uniqueId val="{00000001-95CD-0049-B665-6D076F247338}"/>
            </c:ext>
          </c:extLst>
        </c:ser>
        <c:ser>
          <c:idx val="2"/>
          <c:order val="2"/>
          <c:tx>
            <c:strRef>
              <c:f>'Operating cycle'!$J$26:$K$26</c:f>
              <c:strCache>
                <c:ptCount val="2"/>
                <c:pt idx="0">
                  <c:v>S&amp;P 500</c:v>
                </c:pt>
              </c:strCache>
            </c:strRef>
          </c:tx>
          <c:spPr>
            <a:ln w="28575">
              <a:solidFill>
                <a:schemeClr val="accent4"/>
              </a:solidFill>
            </a:ln>
          </c:spPr>
          <c:marker>
            <c:symbol val="none"/>
          </c:marker>
          <c:cat>
            <c:strRef>
              <c:f>'Operating cycle'!$L$2:$AJ$2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'Operating cycle'!$L$31:$AJ$31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0.20531230398190772</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95CD-0049-B665-6D076F247338}"/>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Operating cycle</a:t>
            </a:r>
            <a:r>
              <a:rPr lang="ko-KR" altLang="ko-KR" sz="3000">
                <a:effectLst/>
              </a:rPr>
              <a:t> </a:t>
            </a:r>
          </a:p>
        </c:rich>
      </c:tx>
      <c:overlay val="0"/>
      <c:spPr>
        <a:noFill/>
        <a:ln>
          <a:noFill/>
        </a:ln>
        <a:effectLst/>
      </c:spPr>
    </c:title>
    <c:autoTitleDeleted val="0"/>
    <c:plotArea>
      <c:layout>
        <c:manualLayout>
          <c:layoutTarget val="inner"/>
          <c:xMode val="edge"/>
          <c:yMode val="edge"/>
          <c:x val="0.13017464638027104"/>
          <c:y val="0.12313596219118826"/>
          <c:w val="0.73197923430302936"/>
          <c:h val="0.73600796748814845"/>
        </c:manualLayout>
      </c:layout>
      <c:lineChart>
        <c:grouping val="standard"/>
        <c:varyColors val="0"/>
        <c:ser>
          <c:idx val="0"/>
          <c:order val="0"/>
          <c:tx>
            <c:strRef>
              <c:f>'Operating cycle'!$J$2:$K$2</c:f>
              <c:strCache>
                <c:ptCount val="2"/>
                <c:pt idx="0">
                  <c:v>GOOD</c:v>
                </c:pt>
              </c:strCache>
            </c:strRef>
          </c:tx>
          <c:spPr>
            <a:ln w="28575" cap="rnd" cmpd="sng">
              <a:solidFill>
                <a:srgbClr val="FF0000"/>
              </a:solidFill>
              <a:round/>
            </a:ln>
            <a:effectLst/>
          </c:spPr>
          <c:marker>
            <c:symbol val="none"/>
          </c:marker>
          <c:cat>
            <c:strRef>
              <c:f>'Operating cycle'!$L$2:$AJ$2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'Operating cycle'!$L$11:$AJ$11</c:f>
              <c:numCache>
                <c:formatCode>0.000_);[Red]\(0.000\)</c:formatCode>
                <c:ptCount val="25"/>
                <c:pt idx="0" formatCode="General">
                  <c:v>0</c:v>
                </c:pt>
                <c:pt idx="1">
                  <c:v>-0.17292400317188827</c:v>
                </c:pt>
                <c:pt idx="2">
                  <c:v>-0.14676924372055017</c:v>
                </c:pt>
                <c:pt idx="3">
                  <c:v>-0.15465385591239483</c:v>
                </c:pt>
                <c:pt idx="4">
                  <c:v>-0.11225564690214784</c:v>
                </c:pt>
                <c:pt idx="5">
                  <c:v>-0.19172557722424169</c:v>
                </c:pt>
                <c:pt idx="6">
                  <c:v>-0.24792005678667095</c:v>
                </c:pt>
                <c:pt idx="7">
                  <c:v>-0.21596295105984897</c:v>
                </c:pt>
                <c:pt idx="8">
                  <c:v>-0.12144691638950939</c:v>
                </c:pt>
                <c:pt idx="9">
                  <c:v>-5.8182376767307642E-2</c:v>
                </c:pt>
                <c:pt idx="10">
                  <c:v>8.8131376233380743E-3</c:v>
                </c:pt>
                <c:pt idx="11">
                  <c:v>8.0756053492350294E-3</c:v>
                </c:pt>
                <c:pt idx="12">
                  <c:v>-0.14870828105693762</c:v>
                </c:pt>
                <c:pt idx="13">
                  <c:v>-0.24898961907941164</c:v>
                </c:pt>
                <c:pt idx="14">
                  <c:v>-0.1353622323316393</c:v>
                </c:pt>
                <c:pt idx="15">
                  <c:v>-0.33902380298519003</c:v>
                </c:pt>
                <c:pt idx="16">
                  <c:v>-0.357425837252975</c:v>
                </c:pt>
                <c:pt idx="17">
                  <c:v>-0.42282847929178474</c:v>
                </c:pt>
                <c:pt idx="18">
                  <c:v>-0.40991060717219757</c:v>
                </c:pt>
                <c:pt idx="19">
                  <c:v>-0.4561774475699128</c:v>
                </c:pt>
                <c:pt idx="20">
                  <c:v>-0.3938915428021012</c:v>
                </c:pt>
                <c:pt idx="21">
                  <c:v>-0.26970335105397053</c:v>
                </c:pt>
                <c:pt idx="22">
                  <c:v>-0.28191897062285587</c:v>
                </c:pt>
                <c:pt idx="23">
                  <c:v>-0.23446794087356695</c:v>
                </c:pt>
                <c:pt idx="24">
                  <c:v>-0.36011032695413903</c:v>
                </c:pt>
              </c:numCache>
            </c:numRef>
          </c:val>
          <c:smooth val="0"/>
          <c:extLst>
            <c:ext xmlns:c16="http://schemas.microsoft.com/office/drawing/2014/chart" uri="{C3380CC4-5D6E-409C-BE32-E72D297353CC}">
              <c16:uniqueId val="{00000000-03A8-8A4A-B788-57459CD7ED1F}"/>
            </c:ext>
          </c:extLst>
        </c:ser>
        <c:ser>
          <c:idx val="1"/>
          <c:order val="1"/>
          <c:tx>
            <c:strRef>
              <c:f>'Operating cycle'!$J$15:$K$15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'Operating cycle'!$L$2:$AJ$2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'Operating cycle'!$L$24:$AJ$24</c:f>
              <c:numCache>
                <c:formatCode>0.000_);[Red]\(0.000\)</c:formatCode>
                <c:ptCount val="25"/>
                <c:pt idx="0" formatCode="General">
                  <c:v>0</c:v>
                </c:pt>
                <c:pt idx="1">
                  <c:v>-2.7528151877032059E-2</c:v>
                </c:pt>
                <c:pt idx="2">
                  <c:v>3.6257501821421456E-3</c:v>
                </c:pt>
                <c:pt idx="3">
                  <c:v>-1.6451836477995446E-3</c:v>
                </c:pt>
                <c:pt idx="4">
                  <c:v>-6.2245198668074014E-3</c:v>
                </c:pt>
                <c:pt idx="5">
                  <c:v>2.4790502732296021E-3</c:v>
                </c:pt>
                <c:pt idx="6">
                  <c:v>-7.0309571826086659E-2</c:v>
                </c:pt>
                <c:pt idx="7">
                  <c:v>-1.6643836289492842E-2</c:v>
                </c:pt>
                <c:pt idx="8">
                  <c:v>8.4214284364543507E-2</c:v>
                </c:pt>
                <c:pt idx="9">
                  <c:v>0.12388721616577503</c:v>
                </c:pt>
                <c:pt idx="10">
                  <c:v>0.13276970588250672</c:v>
                </c:pt>
                <c:pt idx="11">
                  <c:v>0.10665946337007334</c:v>
                </c:pt>
                <c:pt idx="12">
                  <c:v>1.415017178231151E-2</c:v>
                </c:pt>
                <c:pt idx="13">
                  <c:v>-1.041192248547429E-3</c:v>
                </c:pt>
                <c:pt idx="14">
                  <c:v>9.6508150050305053E-2</c:v>
                </c:pt>
                <c:pt idx="15">
                  <c:v>-5.1041666993257927E-2</c:v>
                </c:pt>
                <c:pt idx="16">
                  <c:v>-8.0740090767861691E-2</c:v>
                </c:pt>
                <c:pt idx="17">
                  <c:v>-5.9288113770834316E-2</c:v>
                </c:pt>
                <c:pt idx="18">
                  <c:v>-8.7400543145592161E-2</c:v>
                </c:pt>
                <c:pt idx="19">
                  <c:v>-4.1748294610374215E-2</c:v>
                </c:pt>
                <c:pt idx="20">
                  <c:v>6.2351769830085169E-2</c:v>
                </c:pt>
                <c:pt idx="21">
                  <c:v>0.13612365896017023</c:v>
                </c:pt>
                <c:pt idx="22">
                  <c:v>0.1376171457887467</c:v>
                </c:pt>
                <c:pt idx="23">
                  <c:v>0.1003486196842584</c:v>
                </c:pt>
                <c:pt idx="24">
                  <c:v>-6.6079911813838058E-2</c:v>
                </c:pt>
              </c:numCache>
            </c:numRef>
          </c:val>
          <c:smooth val="0"/>
          <c:extLst>
            <c:ext xmlns:c16="http://schemas.microsoft.com/office/drawing/2014/chart" uri="{C3380CC4-5D6E-409C-BE32-E72D297353CC}">
              <c16:uniqueId val="{00000001-03A8-8A4A-B788-57459CD7ED1F}"/>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layout>
            <c:manualLayout>
              <c:xMode val="edge"/>
              <c:yMode val="edge"/>
              <c:x val="4.7298504313524975E-2"/>
              <c:y val="0.36277242412396987"/>
            </c:manualLayout>
          </c:layout>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Operating cycle</a:t>
            </a:r>
            <a:r>
              <a:rPr lang="ko-KR" altLang="ko-KR" sz="3000">
                <a:effectLst/>
              </a:rPr>
              <a:t> </a:t>
            </a:r>
          </a:p>
        </c:rich>
      </c:tx>
      <c:overlay val="0"/>
      <c:spPr>
        <a:noFill/>
        <a:ln>
          <a:noFill/>
        </a:ln>
        <a:effectLst/>
      </c:spPr>
    </c:title>
    <c:autoTitleDeleted val="0"/>
    <c:plotArea>
      <c:layout>
        <c:manualLayout>
          <c:layoutTarget val="inner"/>
          <c:xMode val="edge"/>
          <c:yMode val="edge"/>
          <c:x val="7.4593516384464126E-2"/>
          <c:y val="0.13159679918988756"/>
          <c:w val="0.73197923430302936"/>
          <c:h val="0.73600796748814845"/>
        </c:manualLayout>
      </c:layout>
      <c:lineChart>
        <c:grouping val="standard"/>
        <c:varyColors val="0"/>
        <c:ser>
          <c:idx val="0"/>
          <c:order val="0"/>
          <c:tx>
            <c:strRef>
              <c:f>'Operating cycle'!$J$2:$K$2</c:f>
              <c:strCache>
                <c:ptCount val="2"/>
                <c:pt idx="0">
                  <c:v>GOOD</c:v>
                </c:pt>
              </c:strCache>
            </c:strRef>
          </c:tx>
          <c:spPr>
            <a:ln w="28575" cap="rnd" cmpd="sng">
              <a:solidFill>
                <a:srgbClr val="FF0000"/>
              </a:solidFill>
              <a:round/>
            </a:ln>
            <a:effectLst/>
          </c:spPr>
          <c:marker>
            <c:symbol val="none"/>
          </c:marker>
          <c:cat>
            <c:strRef>
              <c:f>'Operating cycle'!$L$2:$AJ$2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'Operating cycle'!$L$11:$AJ$11</c:f>
              <c:numCache>
                <c:formatCode>0.000_);[Red]\(0.000\)</c:formatCode>
                <c:ptCount val="25"/>
                <c:pt idx="0" formatCode="General">
                  <c:v>0</c:v>
                </c:pt>
                <c:pt idx="1">
                  <c:v>-0.17292400317188827</c:v>
                </c:pt>
                <c:pt idx="2">
                  <c:v>-0.14676924372055017</c:v>
                </c:pt>
                <c:pt idx="3">
                  <c:v>-0.15465385591239483</c:v>
                </c:pt>
                <c:pt idx="4">
                  <c:v>-0.11225564690214784</c:v>
                </c:pt>
                <c:pt idx="5">
                  <c:v>-0.19172557722424169</c:v>
                </c:pt>
                <c:pt idx="6">
                  <c:v>-0.24792005678667095</c:v>
                </c:pt>
                <c:pt idx="7">
                  <c:v>-0.21596295105984897</c:v>
                </c:pt>
                <c:pt idx="8">
                  <c:v>-0.12144691638950939</c:v>
                </c:pt>
                <c:pt idx="9">
                  <c:v>-5.8182376767307642E-2</c:v>
                </c:pt>
                <c:pt idx="10">
                  <c:v>8.8131376233380743E-3</c:v>
                </c:pt>
                <c:pt idx="11">
                  <c:v>8.0756053492350294E-3</c:v>
                </c:pt>
                <c:pt idx="12">
                  <c:v>-0.14870828105693762</c:v>
                </c:pt>
                <c:pt idx="13">
                  <c:v>-0.24898961907941164</c:v>
                </c:pt>
                <c:pt idx="14">
                  <c:v>-0.1353622323316393</c:v>
                </c:pt>
                <c:pt idx="15">
                  <c:v>-0.33902380298519003</c:v>
                </c:pt>
                <c:pt idx="16">
                  <c:v>-0.357425837252975</c:v>
                </c:pt>
                <c:pt idx="17">
                  <c:v>-0.42282847929178474</c:v>
                </c:pt>
                <c:pt idx="18">
                  <c:v>-0.40991060717219757</c:v>
                </c:pt>
                <c:pt idx="19">
                  <c:v>-0.4561774475699128</c:v>
                </c:pt>
                <c:pt idx="20">
                  <c:v>-0.3938915428021012</c:v>
                </c:pt>
                <c:pt idx="21">
                  <c:v>-0.26970335105397053</c:v>
                </c:pt>
                <c:pt idx="22">
                  <c:v>-0.28191897062285587</c:v>
                </c:pt>
                <c:pt idx="23">
                  <c:v>-0.23446794087356695</c:v>
                </c:pt>
                <c:pt idx="24">
                  <c:v>-0.36011032695413903</c:v>
                </c:pt>
              </c:numCache>
            </c:numRef>
          </c:val>
          <c:smooth val="0"/>
          <c:extLst>
            <c:ext xmlns:c16="http://schemas.microsoft.com/office/drawing/2014/chart" uri="{C3380CC4-5D6E-409C-BE32-E72D297353CC}">
              <c16:uniqueId val="{00000000-4BF3-6D45-9884-D4A4E1DD3C82}"/>
            </c:ext>
          </c:extLst>
        </c:ser>
        <c:ser>
          <c:idx val="1"/>
          <c:order val="1"/>
          <c:tx>
            <c:strRef>
              <c:f>'Operating cycle'!$J$15:$K$15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'Operating cycle'!$L$2:$AJ$2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'Operating cycle'!$L$24:$AJ$24</c:f>
              <c:numCache>
                <c:formatCode>0.000_);[Red]\(0.000\)</c:formatCode>
                <c:ptCount val="25"/>
                <c:pt idx="0" formatCode="General">
                  <c:v>0</c:v>
                </c:pt>
                <c:pt idx="1">
                  <c:v>-2.7528151877032059E-2</c:v>
                </c:pt>
                <c:pt idx="2">
                  <c:v>3.6257501821421456E-3</c:v>
                </c:pt>
                <c:pt idx="3">
                  <c:v>-1.6451836477995446E-3</c:v>
                </c:pt>
                <c:pt idx="4">
                  <c:v>-6.2245198668074014E-3</c:v>
                </c:pt>
                <c:pt idx="5">
                  <c:v>2.4790502732296021E-3</c:v>
                </c:pt>
                <c:pt idx="6">
                  <c:v>-7.0309571826086659E-2</c:v>
                </c:pt>
                <c:pt idx="7">
                  <c:v>-1.6643836289492842E-2</c:v>
                </c:pt>
                <c:pt idx="8">
                  <c:v>8.4214284364543507E-2</c:v>
                </c:pt>
                <c:pt idx="9">
                  <c:v>0.12388721616577503</c:v>
                </c:pt>
                <c:pt idx="10">
                  <c:v>0.13276970588250672</c:v>
                </c:pt>
                <c:pt idx="11">
                  <c:v>0.10665946337007334</c:v>
                </c:pt>
                <c:pt idx="12">
                  <c:v>1.415017178231151E-2</c:v>
                </c:pt>
                <c:pt idx="13">
                  <c:v>-1.041192248547429E-3</c:v>
                </c:pt>
                <c:pt idx="14">
                  <c:v>9.6508150050305053E-2</c:v>
                </c:pt>
                <c:pt idx="15">
                  <c:v>-5.1041666993257927E-2</c:v>
                </c:pt>
                <c:pt idx="16">
                  <c:v>-8.0740090767861691E-2</c:v>
                </c:pt>
                <c:pt idx="17">
                  <c:v>-5.9288113770834316E-2</c:v>
                </c:pt>
                <c:pt idx="18">
                  <c:v>-8.7400543145592161E-2</c:v>
                </c:pt>
                <c:pt idx="19">
                  <c:v>-4.1748294610374215E-2</c:v>
                </c:pt>
                <c:pt idx="20">
                  <c:v>6.2351769830085169E-2</c:v>
                </c:pt>
                <c:pt idx="21">
                  <c:v>0.13612365896017023</c:v>
                </c:pt>
                <c:pt idx="22">
                  <c:v>0.1376171457887467</c:v>
                </c:pt>
                <c:pt idx="23">
                  <c:v>0.1003486196842584</c:v>
                </c:pt>
                <c:pt idx="24">
                  <c:v>-6.6079911813838058E-2</c:v>
                </c:pt>
              </c:numCache>
            </c:numRef>
          </c:val>
          <c:smooth val="0"/>
          <c:extLst>
            <c:ext xmlns:c16="http://schemas.microsoft.com/office/drawing/2014/chart" uri="{C3380CC4-5D6E-409C-BE32-E72D297353CC}">
              <c16:uniqueId val="{00000001-4BF3-6D45-9884-D4A4E1DD3C82}"/>
            </c:ext>
          </c:extLst>
        </c:ser>
        <c:ser>
          <c:idx val="2"/>
          <c:order val="2"/>
          <c:tx>
            <c:strRef>
              <c:f>'Operating cycle'!$J$68:$K$68</c:f>
              <c:strCache>
                <c:ptCount val="2"/>
                <c:pt idx="0">
                  <c:v>Industry average</c:v>
                </c:pt>
              </c:strCache>
            </c:strRef>
          </c:tx>
          <c:spPr>
            <a:ln w="28575">
              <a:solidFill>
                <a:schemeClr val="accent6"/>
              </a:solidFill>
            </a:ln>
          </c:spPr>
          <c:marker>
            <c:symbol val="none"/>
          </c:marker>
          <c:cat>
            <c:strRef>
              <c:f>'Operating cycle'!$L$2:$AJ$2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'Operating cycle'!$L$73:$AJ$73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4BF3-6D45-9884-D4A4E1DD3C82}"/>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Total asset turnover</a:t>
            </a:r>
            <a:r>
              <a:rPr lang="ko-KR" altLang="ko-KR" sz="3000">
                <a:effectLst/>
              </a:rPr>
              <a:t> </a:t>
            </a:r>
          </a:p>
        </c:rich>
      </c:tx>
      <c:overlay val="0"/>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'Total asset turnover'!$J$2:$K$2</c:f>
              <c:strCache>
                <c:ptCount val="2"/>
                <c:pt idx="0">
                  <c:v>GOOD</c:v>
                </c:pt>
              </c:strCache>
            </c:strRef>
          </c:tx>
          <c:spPr>
            <a:ln w="28575" cap="rnd" cmpd="sng">
              <a:solidFill>
                <a:srgbClr val="FF0000"/>
              </a:solidFill>
              <a:round/>
            </a:ln>
            <a:effectLst/>
          </c:spPr>
          <c:marker>
            <c:symbol val="none"/>
          </c:marker>
          <c:cat>
            <c:strRef>
              <c:f>'Total asset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'Total asset turnover'!$L$11:$AJ$11</c:f>
              <c:numCache>
                <c:formatCode>0.000_);[Red]\(0.000\)</c:formatCode>
                <c:ptCount val="25"/>
                <c:pt idx="0" formatCode="General">
                  <c:v>0</c:v>
                </c:pt>
                <c:pt idx="1">
                  <c:v>-4.1296848320018301E-2</c:v>
                </c:pt>
                <c:pt idx="2">
                  <c:v>-2.5653761011480494E-2</c:v>
                </c:pt>
                <c:pt idx="3">
                  <c:v>-3.2446747583952565E-2</c:v>
                </c:pt>
                <c:pt idx="4">
                  <c:v>1.2182949939394713E-2</c:v>
                </c:pt>
                <c:pt idx="5">
                  <c:v>-1.8213556283873056E-2</c:v>
                </c:pt>
                <c:pt idx="6">
                  <c:v>-0.11700639316497724</c:v>
                </c:pt>
                <c:pt idx="7">
                  <c:v>-3.8154346263949895E-2</c:v>
                </c:pt>
                <c:pt idx="8">
                  <c:v>4.6071669298793333E-2</c:v>
                </c:pt>
                <c:pt idx="9">
                  <c:v>7.4711696525003701E-2</c:v>
                </c:pt>
                <c:pt idx="10">
                  <c:v>8.2081325386264531E-2</c:v>
                </c:pt>
                <c:pt idx="11">
                  <c:v>6.3069995779110724E-2</c:v>
                </c:pt>
                <c:pt idx="12">
                  <c:v>-4.7902749639064518E-2</c:v>
                </c:pt>
                <c:pt idx="13">
                  <c:v>-9.3565078839539295E-2</c:v>
                </c:pt>
                <c:pt idx="14">
                  <c:v>-2.8406323746075629E-2</c:v>
                </c:pt>
                <c:pt idx="15">
                  <c:v>-0.21764613927163992</c:v>
                </c:pt>
                <c:pt idx="16">
                  <c:v>-0.23736303612514911</c:v>
                </c:pt>
                <c:pt idx="17">
                  <c:v>-0.2453310190186094</c:v>
                </c:pt>
                <c:pt idx="18">
                  <c:v>-0.28805973277010943</c:v>
                </c:pt>
                <c:pt idx="19">
                  <c:v>-0.26728725345355869</c:v>
                </c:pt>
                <c:pt idx="20">
                  <c:v>-0.20431175106215341</c:v>
                </c:pt>
                <c:pt idx="21">
                  <c:v>-8.1893259419772976E-2</c:v>
                </c:pt>
                <c:pt idx="22">
                  <c:v>-0.10404591370900773</c:v>
                </c:pt>
                <c:pt idx="23">
                  <c:v>-0.11026469674541424</c:v>
                </c:pt>
                <c:pt idx="24">
                  <c:v>-0.22535029201372317</c:v>
                </c:pt>
              </c:numCache>
            </c:numRef>
          </c:val>
          <c:smooth val="0"/>
          <c:extLst>
            <c:ext xmlns:c16="http://schemas.microsoft.com/office/drawing/2014/chart" uri="{C3380CC4-5D6E-409C-BE32-E72D297353CC}">
              <c16:uniqueId val="{00000000-755C-6246-B633-733537ADDD92}"/>
            </c:ext>
          </c:extLst>
        </c:ser>
        <c:ser>
          <c:idx val="1"/>
          <c:order val="1"/>
          <c:tx>
            <c:strRef>
              <c:f>'Total asset turnover'!$J$15:$K$15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'Total asset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'Total asset turnover'!$L$24:$AJ$24</c:f>
              <c:numCache>
                <c:formatCode>0.000_);[Red]\(0.000\)</c:formatCode>
                <c:ptCount val="25"/>
                <c:pt idx="0" formatCode="General">
                  <c:v>0</c:v>
                </c:pt>
                <c:pt idx="1">
                  <c:v>-5.6685073165154518E-2</c:v>
                </c:pt>
                <c:pt idx="2">
                  <c:v>-4.399021869722583E-2</c:v>
                </c:pt>
                <c:pt idx="3">
                  <c:v>-7.1891207463007326E-2</c:v>
                </c:pt>
                <c:pt idx="4">
                  <c:v>-5.7446726223665423E-2</c:v>
                </c:pt>
                <c:pt idx="5">
                  <c:v>-0.11740040582722014</c:v>
                </c:pt>
                <c:pt idx="6">
                  <c:v>-0.13583294751602237</c:v>
                </c:pt>
                <c:pt idx="7">
                  <c:v>-0.13420306653480973</c:v>
                </c:pt>
                <c:pt idx="8">
                  <c:v>-3.5243329105814306E-2</c:v>
                </c:pt>
                <c:pt idx="9">
                  <c:v>4.7155920724440387E-2</c:v>
                </c:pt>
                <c:pt idx="10">
                  <c:v>0.10487920537898833</c:v>
                </c:pt>
                <c:pt idx="11">
                  <c:v>0.12052543650627012</c:v>
                </c:pt>
                <c:pt idx="12">
                  <c:v>-7.2342740027229846E-2</c:v>
                </c:pt>
                <c:pt idx="13">
                  <c:v>-0.13899569637159775</c:v>
                </c:pt>
                <c:pt idx="14">
                  <c:v>-3.5495997878446262E-2</c:v>
                </c:pt>
                <c:pt idx="15">
                  <c:v>-0.13962380310286407</c:v>
                </c:pt>
                <c:pt idx="16">
                  <c:v>-0.1467015040760683</c:v>
                </c:pt>
                <c:pt idx="17">
                  <c:v>-0.14732621721199804</c:v>
                </c:pt>
                <c:pt idx="18">
                  <c:v>-0.18489662945104354</c:v>
                </c:pt>
                <c:pt idx="19">
                  <c:v>-0.22375855314656759</c:v>
                </c:pt>
                <c:pt idx="20">
                  <c:v>-0.10323192914826312</c:v>
                </c:pt>
                <c:pt idx="21">
                  <c:v>-3.253149768021444E-2</c:v>
                </c:pt>
                <c:pt idx="22">
                  <c:v>-2.1109540049692527E-2</c:v>
                </c:pt>
                <c:pt idx="23">
                  <c:v>-8.9352744703267525E-5</c:v>
                </c:pt>
                <c:pt idx="24">
                  <c:v>-6.7210785086314229E-2</c:v>
                </c:pt>
              </c:numCache>
            </c:numRef>
          </c:val>
          <c:smooth val="0"/>
          <c:extLst>
            <c:ext xmlns:c16="http://schemas.microsoft.com/office/drawing/2014/chart" uri="{C3380CC4-5D6E-409C-BE32-E72D297353CC}">
              <c16:uniqueId val="{00000001-755C-6246-B633-733537ADDD92}"/>
            </c:ext>
          </c:extLst>
        </c:ser>
        <c:ser>
          <c:idx val="2"/>
          <c:order val="2"/>
          <c:tx>
            <c:strRef>
              <c:f>'Total asset turnover'!$J$26:$K$26</c:f>
              <c:strCache>
                <c:ptCount val="2"/>
                <c:pt idx="0">
                  <c:v>S&amp;P 500</c:v>
                </c:pt>
              </c:strCache>
            </c:strRef>
          </c:tx>
          <c:spPr>
            <a:ln w="28575">
              <a:solidFill>
                <a:schemeClr val="accent4"/>
              </a:solidFill>
            </a:ln>
          </c:spPr>
          <c:marker>
            <c:symbol val="none"/>
          </c:marker>
          <c:cat>
            <c:strRef>
              <c:f>'Total asset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'Total asset turnover'!$L$31:$AJ$31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0.20531230398190772</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755C-6246-B633-733537ADDD92}"/>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Total asset turnover</a:t>
            </a:r>
            <a:r>
              <a:rPr lang="ko-KR" altLang="ko-KR" sz="3000">
                <a:effectLst/>
              </a:rPr>
              <a:t> </a:t>
            </a:r>
          </a:p>
        </c:rich>
      </c:tx>
      <c:overlay val="0"/>
      <c:spPr>
        <a:noFill/>
        <a:ln>
          <a:noFill/>
        </a:ln>
        <a:effectLst/>
      </c:spPr>
    </c:title>
    <c:autoTitleDeleted val="0"/>
    <c:plotArea>
      <c:layout>
        <c:manualLayout>
          <c:layoutTarget val="inner"/>
          <c:xMode val="edge"/>
          <c:yMode val="edge"/>
          <c:x val="0.12397012705641049"/>
          <c:y val="0.12087170859179637"/>
          <c:w val="0.73197923430302936"/>
          <c:h val="0.73600796748814845"/>
        </c:manualLayout>
      </c:layout>
      <c:lineChart>
        <c:grouping val="standard"/>
        <c:varyColors val="0"/>
        <c:ser>
          <c:idx val="0"/>
          <c:order val="0"/>
          <c:tx>
            <c:strRef>
              <c:f>'Total asset turnover'!$J$2:$K$2</c:f>
              <c:strCache>
                <c:ptCount val="2"/>
                <c:pt idx="0">
                  <c:v>GOOD</c:v>
                </c:pt>
              </c:strCache>
            </c:strRef>
          </c:tx>
          <c:spPr>
            <a:ln w="28575" cap="rnd" cmpd="sng">
              <a:solidFill>
                <a:srgbClr val="FF0000"/>
              </a:solidFill>
              <a:round/>
            </a:ln>
            <a:effectLst/>
          </c:spPr>
          <c:marker>
            <c:symbol val="none"/>
          </c:marker>
          <c:cat>
            <c:strRef>
              <c:f>'Total asset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'Total asset turnover'!$L$11:$AJ$11</c:f>
              <c:numCache>
                <c:formatCode>0.000_);[Red]\(0.000\)</c:formatCode>
                <c:ptCount val="25"/>
                <c:pt idx="0" formatCode="General">
                  <c:v>0</c:v>
                </c:pt>
                <c:pt idx="1">
                  <c:v>-4.1296848320018301E-2</c:v>
                </c:pt>
                <c:pt idx="2">
                  <c:v>-2.5653761011480494E-2</c:v>
                </c:pt>
                <c:pt idx="3">
                  <c:v>-3.2446747583952565E-2</c:v>
                </c:pt>
                <c:pt idx="4">
                  <c:v>1.2182949939394713E-2</c:v>
                </c:pt>
                <c:pt idx="5">
                  <c:v>-1.8213556283873056E-2</c:v>
                </c:pt>
                <c:pt idx="6">
                  <c:v>-0.11700639316497724</c:v>
                </c:pt>
                <c:pt idx="7">
                  <c:v>-3.8154346263949895E-2</c:v>
                </c:pt>
                <c:pt idx="8">
                  <c:v>4.6071669298793333E-2</c:v>
                </c:pt>
                <c:pt idx="9">
                  <c:v>7.4711696525003701E-2</c:v>
                </c:pt>
                <c:pt idx="10">
                  <c:v>8.2081325386264531E-2</c:v>
                </c:pt>
                <c:pt idx="11">
                  <c:v>6.3069995779110724E-2</c:v>
                </c:pt>
                <c:pt idx="12">
                  <c:v>-4.7902749639064518E-2</c:v>
                </c:pt>
                <c:pt idx="13">
                  <c:v>-9.3565078839539295E-2</c:v>
                </c:pt>
                <c:pt idx="14">
                  <c:v>-2.8406323746075629E-2</c:v>
                </c:pt>
                <c:pt idx="15">
                  <c:v>-0.21764613927163992</c:v>
                </c:pt>
                <c:pt idx="16">
                  <c:v>-0.23736303612514911</c:v>
                </c:pt>
                <c:pt idx="17">
                  <c:v>-0.2453310190186094</c:v>
                </c:pt>
                <c:pt idx="18">
                  <c:v>-0.28805973277010943</c:v>
                </c:pt>
                <c:pt idx="19">
                  <c:v>-0.26728725345355869</c:v>
                </c:pt>
                <c:pt idx="20">
                  <c:v>-0.20431175106215341</c:v>
                </c:pt>
                <c:pt idx="21">
                  <c:v>-8.1893259419772976E-2</c:v>
                </c:pt>
                <c:pt idx="22">
                  <c:v>-0.10404591370900773</c:v>
                </c:pt>
                <c:pt idx="23">
                  <c:v>-0.11026469674541424</c:v>
                </c:pt>
                <c:pt idx="24">
                  <c:v>-0.22535029201372317</c:v>
                </c:pt>
              </c:numCache>
            </c:numRef>
          </c:val>
          <c:smooth val="0"/>
          <c:extLst>
            <c:ext xmlns:c16="http://schemas.microsoft.com/office/drawing/2014/chart" uri="{C3380CC4-5D6E-409C-BE32-E72D297353CC}">
              <c16:uniqueId val="{00000000-6325-5D4F-9E16-9BBE717DCE26}"/>
            </c:ext>
          </c:extLst>
        </c:ser>
        <c:ser>
          <c:idx val="1"/>
          <c:order val="1"/>
          <c:tx>
            <c:strRef>
              <c:f>'Total asset turnover'!$J$15:$K$15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'Total asset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'Total asset turnover'!$L$24:$AJ$24</c:f>
              <c:numCache>
                <c:formatCode>0.000_);[Red]\(0.000\)</c:formatCode>
                <c:ptCount val="25"/>
                <c:pt idx="0" formatCode="General">
                  <c:v>0</c:v>
                </c:pt>
                <c:pt idx="1">
                  <c:v>-5.6685073165154518E-2</c:v>
                </c:pt>
                <c:pt idx="2">
                  <c:v>-4.399021869722583E-2</c:v>
                </c:pt>
                <c:pt idx="3">
                  <c:v>-7.1891207463007326E-2</c:v>
                </c:pt>
                <c:pt idx="4">
                  <c:v>-5.7446726223665423E-2</c:v>
                </c:pt>
                <c:pt idx="5">
                  <c:v>-0.11740040582722014</c:v>
                </c:pt>
                <c:pt idx="6">
                  <c:v>-0.13583294751602237</c:v>
                </c:pt>
                <c:pt idx="7">
                  <c:v>-0.13420306653480973</c:v>
                </c:pt>
                <c:pt idx="8">
                  <c:v>-3.5243329105814306E-2</c:v>
                </c:pt>
                <c:pt idx="9">
                  <c:v>4.7155920724440387E-2</c:v>
                </c:pt>
                <c:pt idx="10">
                  <c:v>0.10487920537898833</c:v>
                </c:pt>
                <c:pt idx="11">
                  <c:v>0.12052543650627012</c:v>
                </c:pt>
                <c:pt idx="12">
                  <c:v>-7.2342740027229846E-2</c:v>
                </c:pt>
                <c:pt idx="13">
                  <c:v>-0.13899569637159775</c:v>
                </c:pt>
                <c:pt idx="14">
                  <c:v>-3.5495997878446262E-2</c:v>
                </c:pt>
                <c:pt idx="15">
                  <c:v>-0.13962380310286407</c:v>
                </c:pt>
                <c:pt idx="16">
                  <c:v>-0.1467015040760683</c:v>
                </c:pt>
                <c:pt idx="17">
                  <c:v>-0.14732621721199804</c:v>
                </c:pt>
                <c:pt idx="18">
                  <c:v>-0.18489662945104354</c:v>
                </c:pt>
                <c:pt idx="19">
                  <c:v>-0.22375855314656759</c:v>
                </c:pt>
                <c:pt idx="20">
                  <c:v>-0.10323192914826312</c:v>
                </c:pt>
                <c:pt idx="21">
                  <c:v>-3.253149768021444E-2</c:v>
                </c:pt>
                <c:pt idx="22">
                  <c:v>-2.1109540049692527E-2</c:v>
                </c:pt>
                <c:pt idx="23">
                  <c:v>-8.9352744703267525E-5</c:v>
                </c:pt>
                <c:pt idx="24">
                  <c:v>-6.7210785086314229E-2</c:v>
                </c:pt>
              </c:numCache>
            </c:numRef>
          </c:val>
          <c:smooth val="0"/>
          <c:extLst>
            <c:ext xmlns:c16="http://schemas.microsoft.com/office/drawing/2014/chart" uri="{C3380CC4-5D6E-409C-BE32-E72D297353CC}">
              <c16:uniqueId val="{00000001-6325-5D4F-9E16-9BBE717DCE26}"/>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layout>
            <c:manualLayout>
              <c:xMode val="edge"/>
              <c:yMode val="edge"/>
              <c:x val="4.5697909840919183E-2"/>
              <c:y val="0.35966016695048592"/>
            </c:manualLayout>
          </c:layout>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Total asset turnover</a:t>
            </a:r>
            <a:r>
              <a:rPr lang="ko-KR" altLang="ko-KR" sz="3000">
                <a:effectLst/>
              </a:rPr>
              <a:t> </a:t>
            </a:r>
          </a:p>
        </c:rich>
      </c:tx>
      <c:overlay val="0"/>
      <c:spPr>
        <a:noFill/>
        <a:ln>
          <a:noFill/>
        </a:ln>
        <a:effectLst/>
      </c:spPr>
    </c:title>
    <c:autoTitleDeleted val="0"/>
    <c:plotArea>
      <c:layout>
        <c:manualLayout>
          <c:layoutTarget val="inner"/>
          <c:xMode val="edge"/>
          <c:yMode val="edge"/>
          <c:x val="7.2934829205546836E-2"/>
          <c:y val="0.12736623745448697"/>
          <c:w val="0.73197923430302936"/>
          <c:h val="0.73600796748814845"/>
        </c:manualLayout>
      </c:layout>
      <c:lineChart>
        <c:grouping val="standard"/>
        <c:varyColors val="0"/>
        <c:ser>
          <c:idx val="0"/>
          <c:order val="0"/>
          <c:tx>
            <c:strRef>
              <c:f>'Total asset turnover'!$J$2:$K$2</c:f>
              <c:strCache>
                <c:ptCount val="2"/>
                <c:pt idx="0">
                  <c:v>GOOD</c:v>
                </c:pt>
              </c:strCache>
            </c:strRef>
          </c:tx>
          <c:spPr>
            <a:ln w="28575" cap="rnd" cmpd="sng">
              <a:solidFill>
                <a:srgbClr val="FF0000"/>
              </a:solidFill>
              <a:round/>
            </a:ln>
            <a:effectLst/>
          </c:spPr>
          <c:marker>
            <c:symbol val="none"/>
          </c:marker>
          <c:cat>
            <c:strRef>
              <c:f>'Total asset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'Total asset turnover'!$L$11:$AJ$11</c:f>
              <c:numCache>
                <c:formatCode>0.000_);[Red]\(0.000\)</c:formatCode>
                <c:ptCount val="25"/>
                <c:pt idx="0" formatCode="General">
                  <c:v>0</c:v>
                </c:pt>
                <c:pt idx="1">
                  <c:v>-4.1296848320018301E-2</c:v>
                </c:pt>
                <c:pt idx="2">
                  <c:v>-2.5653761011480494E-2</c:v>
                </c:pt>
                <c:pt idx="3">
                  <c:v>-3.2446747583952565E-2</c:v>
                </c:pt>
                <c:pt idx="4">
                  <c:v>1.2182949939394713E-2</c:v>
                </c:pt>
                <c:pt idx="5">
                  <c:v>-1.8213556283873056E-2</c:v>
                </c:pt>
                <c:pt idx="6">
                  <c:v>-0.11700639316497724</c:v>
                </c:pt>
                <c:pt idx="7">
                  <c:v>-3.8154346263949895E-2</c:v>
                </c:pt>
                <c:pt idx="8">
                  <c:v>4.6071669298793333E-2</c:v>
                </c:pt>
                <c:pt idx="9">
                  <c:v>7.4711696525003701E-2</c:v>
                </c:pt>
                <c:pt idx="10">
                  <c:v>8.2081325386264531E-2</c:v>
                </c:pt>
                <c:pt idx="11">
                  <c:v>6.3069995779110724E-2</c:v>
                </c:pt>
                <c:pt idx="12">
                  <c:v>-4.7902749639064518E-2</c:v>
                </c:pt>
                <c:pt idx="13">
                  <c:v>-9.3565078839539295E-2</c:v>
                </c:pt>
                <c:pt idx="14">
                  <c:v>-2.8406323746075629E-2</c:v>
                </c:pt>
                <c:pt idx="15">
                  <c:v>-0.21764613927163992</c:v>
                </c:pt>
                <c:pt idx="16">
                  <c:v>-0.23736303612514911</c:v>
                </c:pt>
                <c:pt idx="17">
                  <c:v>-0.2453310190186094</c:v>
                </c:pt>
                <c:pt idx="18">
                  <c:v>-0.28805973277010943</c:v>
                </c:pt>
                <c:pt idx="19">
                  <c:v>-0.26728725345355869</c:v>
                </c:pt>
                <c:pt idx="20">
                  <c:v>-0.20431175106215341</c:v>
                </c:pt>
                <c:pt idx="21">
                  <c:v>-8.1893259419772976E-2</c:v>
                </c:pt>
                <c:pt idx="22">
                  <c:v>-0.10404591370900773</c:v>
                </c:pt>
                <c:pt idx="23">
                  <c:v>-0.11026469674541424</c:v>
                </c:pt>
                <c:pt idx="24">
                  <c:v>-0.22535029201372317</c:v>
                </c:pt>
              </c:numCache>
            </c:numRef>
          </c:val>
          <c:smooth val="0"/>
          <c:extLst>
            <c:ext xmlns:c16="http://schemas.microsoft.com/office/drawing/2014/chart" uri="{C3380CC4-5D6E-409C-BE32-E72D297353CC}">
              <c16:uniqueId val="{00000000-668A-224A-8EE8-0CBBB4973C24}"/>
            </c:ext>
          </c:extLst>
        </c:ser>
        <c:ser>
          <c:idx val="1"/>
          <c:order val="1"/>
          <c:tx>
            <c:strRef>
              <c:f>'Total asset turnover'!$J$15:$K$15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'Total asset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'Total asset turnover'!$L$24:$AJ$24</c:f>
              <c:numCache>
                <c:formatCode>0.000_);[Red]\(0.000\)</c:formatCode>
                <c:ptCount val="25"/>
                <c:pt idx="0" formatCode="General">
                  <c:v>0</c:v>
                </c:pt>
                <c:pt idx="1">
                  <c:v>-5.6685073165154518E-2</c:v>
                </c:pt>
                <c:pt idx="2">
                  <c:v>-4.399021869722583E-2</c:v>
                </c:pt>
                <c:pt idx="3">
                  <c:v>-7.1891207463007326E-2</c:v>
                </c:pt>
                <c:pt idx="4">
                  <c:v>-5.7446726223665423E-2</c:v>
                </c:pt>
                <c:pt idx="5">
                  <c:v>-0.11740040582722014</c:v>
                </c:pt>
                <c:pt idx="6">
                  <c:v>-0.13583294751602237</c:v>
                </c:pt>
                <c:pt idx="7">
                  <c:v>-0.13420306653480973</c:v>
                </c:pt>
                <c:pt idx="8">
                  <c:v>-3.5243329105814306E-2</c:v>
                </c:pt>
                <c:pt idx="9">
                  <c:v>4.7155920724440387E-2</c:v>
                </c:pt>
                <c:pt idx="10">
                  <c:v>0.10487920537898833</c:v>
                </c:pt>
                <c:pt idx="11">
                  <c:v>0.12052543650627012</c:v>
                </c:pt>
                <c:pt idx="12">
                  <c:v>-7.2342740027229846E-2</c:v>
                </c:pt>
                <c:pt idx="13">
                  <c:v>-0.13899569637159775</c:v>
                </c:pt>
                <c:pt idx="14">
                  <c:v>-3.5495997878446262E-2</c:v>
                </c:pt>
                <c:pt idx="15">
                  <c:v>-0.13962380310286407</c:v>
                </c:pt>
                <c:pt idx="16">
                  <c:v>-0.1467015040760683</c:v>
                </c:pt>
                <c:pt idx="17">
                  <c:v>-0.14732621721199804</c:v>
                </c:pt>
                <c:pt idx="18">
                  <c:v>-0.18489662945104354</c:v>
                </c:pt>
                <c:pt idx="19">
                  <c:v>-0.22375855314656759</c:v>
                </c:pt>
                <c:pt idx="20">
                  <c:v>-0.10323192914826312</c:v>
                </c:pt>
                <c:pt idx="21">
                  <c:v>-3.253149768021444E-2</c:v>
                </c:pt>
                <c:pt idx="22">
                  <c:v>-2.1109540049692527E-2</c:v>
                </c:pt>
                <c:pt idx="23">
                  <c:v>-8.9352744703267525E-5</c:v>
                </c:pt>
                <c:pt idx="24">
                  <c:v>-6.7210785086314229E-2</c:v>
                </c:pt>
              </c:numCache>
            </c:numRef>
          </c:val>
          <c:smooth val="0"/>
          <c:extLst>
            <c:ext xmlns:c16="http://schemas.microsoft.com/office/drawing/2014/chart" uri="{C3380CC4-5D6E-409C-BE32-E72D297353CC}">
              <c16:uniqueId val="{00000001-668A-224A-8EE8-0CBBB4973C24}"/>
            </c:ext>
          </c:extLst>
        </c:ser>
        <c:ser>
          <c:idx val="2"/>
          <c:order val="2"/>
          <c:tx>
            <c:strRef>
              <c:f>'Total asset turnover'!$J$68:$K$68</c:f>
              <c:strCache>
                <c:ptCount val="2"/>
                <c:pt idx="0">
                  <c:v>Industry average</c:v>
                </c:pt>
              </c:strCache>
            </c:strRef>
          </c:tx>
          <c:spPr>
            <a:ln w="28575">
              <a:solidFill>
                <a:schemeClr val="accent6"/>
              </a:solidFill>
            </a:ln>
          </c:spPr>
          <c:marker>
            <c:symbol val="none"/>
          </c:marker>
          <c:cat>
            <c:strRef>
              <c:f>'Total asset turnover'!$L$2:$AJ$2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'Total asset turnover'!$L$73:$AJ$73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668A-224A-8EE8-0CBBB4973C24}"/>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1068553051761894"/>
          <c:y val="0.12073124396556571"/>
          <c:w val="0.18931446948238106"/>
          <c:h val="0.1602714980540258"/>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Times interest earned</a:t>
            </a:r>
            <a:r>
              <a:rPr lang="ko-KR" altLang="ko-KR" sz="3000">
                <a:effectLst/>
              </a:rPr>
              <a:t> </a:t>
            </a:r>
          </a:p>
        </c:rich>
      </c:tx>
      <c:overlay val="0"/>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'Times interest earned'!$J$2:$K$2</c:f>
              <c:strCache>
                <c:ptCount val="2"/>
                <c:pt idx="0">
                  <c:v>GOOD</c:v>
                </c:pt>
              </c:strCache>
            </c:strRef>
          </c:tx>
          <c:spPr>
            <a:ln w="28575" cap="rnd" cmpd="sng">
              <a:solidFill>
                <a:srgbClr val="FF0000"/>
              </a:solidFill>
              <a:round/>
            </a:ln>
            <a:effectLst/>
          </c:spPr>
          <c:marker>
            <c:symbol val="none"/>
          </c:marker>
          <c:cat>
            <c:strRef>
              <c:f>'Times interest earned'!$L$2:$AJ$2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'Times interest earned'!$L$11:$AJ$11</c:f>
              <c:numCache>
                <c:formatCode>0.000_);[Red]\(0.000\)</c:formatCode>
                <c:ptCount val="25"/>
                <c:pt idx="0" formatCode="General">
                  <c:v>0</c:v>
                </c:pt>
                <c:pt idx="1">
                  <c:v>-3.7328274476017081E-2</c:v>
                </c:pt>
                <c:pt idx="2">
                  <c:v>-2.2063080593289208E-3</c:v>
                </c:pt>
                <c:pt idx="3">
                  <c:v>4.2108361378472986E-3</c:v>
                </c:pt>
                <c:pt idx="4">
                  <c:v>9.6610311731462617E-4</c:v>
                </c:pt>
                <c:pt idx="5">
                  <c:v>1.0212369955272665E-3</c:v>
                </c:pt>
                <c:pt idx="6">
                  <c:v>-6.3235303151278191E-2</c:v>
                </c:pt>
                <c:pt idx="7">
                  <c:v>-7.8793297020575276E-2</c:v>
                </c:pt>
                <c:pt idx="8">
                  <c:v>1.9359119123916815E-2</c:v>
                </c:pt>
                <c:pt idx="9">
                  <c:v>8.2174787366423377E-2</c:v>
                </c:pt>
                <c:pt idx="10">
                  <c:v>0.1481433546362742</c:v>
                </c:pt>
                <c:pt idx="11">
                  <c:v>0.15658147340103273</c:v>
                </c:pt>
                <c:pt idx="12">
                  <c:v>8.4304339153570551E-3</c:v>
                </c:pt>
                <c:pt idx="13">
                  <c:v>3.8891129365051236E-3</c:v>
                </c:pt>
                <c:pt idx="14">
                  <c:v>8.3347479804761232E-2</c:v>
                </c:pt>
                <c:pt idx="15">
                  <c:v>4.3531927572890523E-3</c:v>
                </c:pt>
                <c:pt idx="16">
                  <c:v>-1.2760114955865764E-2</c:v>
                </c:pt>
                <c:pt idx="17">
                  <c:v>-6.4388021547884255E-4</c:v>
                </c:pt>
                <c:pt idx="18">
                  <c:v>-4.7649737869771315E-2</c:v>
                </c:pt>
                <c:pt idx="19">
                  <c:v>-4.7361325414733001E-2</c:v>
                </c:pt>
                <c:pt idx="20">
                  <c:v>4.6716472896098059E-2</c:v>
                </c:pt>
                <c:pt idx="21">
                  <c:v>0.1301960747071528</c:v>
                </c:pt>
                <c:pt idx="22">
                  <c:v>0.13317784736201979</c:v>
                </c:pt>
                <c:pt idx="23">
                  <c:v>7.0390488082011357E-2</c:v>
                </c:pt>
                <c:pt idx="24">
                  <c:v>-8.6937041550994645E-2</c:v>
                </c:pt>
              </c:numCache>
            </c:numRef>
          </c:val>
          <c:smooth val="0"/>
          <c:extLst>
            <c:ext xmlns:c16="http://schemas.microsoft.com/office/drawing/2014/chart" uri="{C3380CC4-5D6E-409C-BE32-E72D297353CC}">
              <c16:uniqueId val="{00000000-6766-7448-A41F-E5245A274B73}"/>
            </c:ext>
          </c:extLst>
        </c:ser>
        <c:ser>
          <c:idx val="1"/>
          <c:order val="1"/>
          <c:tx>
            <c:strRef>
              <c:f>'Times interest earned'!$J$15:$K$15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'Times interest earned'!$L$2:$AJ$2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'Times interest earned'!$L$24:$AJ$24</c:f>
              <c:numCache>
                <c:formatCode>0.000_);[Red]\(0.000\)</c:formatCode>
                <c:ptCount val="25"/>
                <c:pt idx="0" formatCode="General">
                  <c:v>0</c:v>
                </c:pt>
                <c:pt idx="1">
                  <c:v>-9.5802077549293943E-2</c:v>
                </c:pt>
                <c:pt idx="2">
                  <c:v>-9.3224048320166078E-2</c:v>
                </c:pt>
                <c:pt idx="3">
                  <c:v>-0.11353873047249589</c:v>
                </c:pt>
                <c:pt idx="4">
                  <c:v>-8.5940204429008085E-2</c:v>
                </c:pt>
                <c:pt idx="5">
                  <c:v>-0.15536188649461016</c:v>
                </c:pt>
                <c:pt idx="6">
                  <c:v>-0.20241316821151489</c:v>
                </c:pt>
                <c:pt idx="7">
                  <c:v>-0.20147320450101097</c:v>
                </c:pt>
                <c:pt idx="8">
                  <c:v>-0.13885809443576985</c:v>
                </c:pt>
                <c:pt idx="9">
                  <c:v>-6.8554032237428286E-2</c:v>
                </c:pt>
                <c:pt idx="10">
                  <c:v>-1.6047414614327724E-2</c:v>
                </c:pt>
                <c:pt idx="11">
                  <c:v>5.0321826817284171E-2</c:v>
                </c:pt>
                <c:pt idx="12">
                  <c:v>-0.1011375159113672</c:v>
                </c:pt>
                <c:pt idx="13">
                  <c:v>-0.20432955799358016</c:v>
                </c:pt>
                <c:pt idx="14">
                  <c:v>-0.13215863488497398</c:v>
                </c:pt>
                <c:pt idx="15">
                  <c:v>-0.30199466224361249</c:v>
                </c:pt>
                <c:pt idx="16">
                  <c:v>-0.30698379290024858</c:v>
                </c:pt>
                <c:pt idx="17">
                  <c:v>-0.37444579847323434</c:v>
                </c:pt>
                <c:pt idx="18">
                  <c:v>-0.36977286982892332</c:v>
                </c:pt>
                <c:pt idx="19">
                  <c:v>-0.44116481485578946</c:v>
                </c:pt>
                <c:pt idx="20">
                  <c:v>-0.39718270339845435</c:v>
                </c:pt>
                <c:pt idx="21">
                  <c:v>-0.29483558397729603</c:v>
                </c:pt>
                <c:pt idx="22">
                  <c:v>-0.30023679955525379</c:v>
                </c:pt>
                <c:pt idx="23">
                  <c:v>-0.26781235382072793</c:v>
                </c:pt>
                <c:pt idx="24">
                  <c:v>-0.384834681040717</c:v>
                </c:pt>
              </c:numCache>
            </c:numRef>
          </c:val>
          <c:smooth val="0"/>
          <c:extLst>
            <c:ext xmlns:c16="http://schemas.microsoft.com/office/drawing/2014/chart" uri="{C3380CC4-5D6E-409C-BE32-E72D297353CC}">
              <c16:uniqueId val="{00000001-6766-7448-A41F-E5245A274B73}"/>
            </c:ext>
          </c:extLst>
        </c:ser>
        <c:ser>
          <c:idx val="2"/>
          <c:order val="2"/>
          <c:tx>
            <c:strRef>
              <c:f>'Times interest earned'!$J$26:$K$26</c:f>
              <c:strCache>
                <c:ptCount val="2"/>
                <c:pt idx="0">
                  <c:v>S&amp;P 500</c:v>
                </c:pt>
              </c:strCache>
            </c:strRef>
          </c:tx>
          <c:spPr>
            <a:ln w="28575">
              <a:solidFill>
                <a:schemeClr val="accent4"/>
              </a:solidFill>
            </a:ln>
          </c:spPr>
          <c:marker>
            <c:symbol val="none"/>
          </c:marker>
          <c:cat>
            <c:strRef>
              <c:f>'Times interest earned'!$L$2:$AJ$2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'Times interest earned'!$L$31:$AJ$31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0.20531230398190772</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6766-7448-A41F-E5245A274B73}"/>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Times interest earned</a:t>
            </a:r>
            <a:r>
              <a:rPr lang="ko-KR" altLang="ko-KR" sz="3000">
                <a:effectLst/>
              </a:rPr>
              <a:t> </a:t>
            </a:r>
          </a:p>
        </c:rich>
      </c:tx>
      <c:overlay val="0"/>
      <c:spPr>
        <a:noFill/>
        <a:ln>
          <a:noFill/>
        </a:ln>
        <a:effectLst/>
      </c:spPr>
    </c:title>
    <c:autoTitleDeleted val="0"/>
    <c:plotArea>
      <c:layout>
        <c:manualLayout>
          <c:layoutTarget val="inner"/>
          <c:xMode val="edge"/>
          <c:yMode val="edge"/>
          <c:x val="0.13262228804839404"/>
          <c:y val="0.1208716879877663"/>
          <c:w val="0.73197923430302936"/>
          <c:h val="0.73600796748814845"/>
        </c:manualLayout>
      </c:layout>
      <c:lineChart>
        <c:grouping val="standard"/>
        <c:varyColors val="0"/>
        <c:ser>
          <c:idx val="0"/>
          <c:order val="0"/>
          <c:tx>
            <c:strRef>
              <c:f>'Times interest earned'!$J$2:$K$2</c:f>
              <c:strCache>
                <c:ptCount val="2"/>
                <c:pt idx="0">
                  <c:v>GOOD</c:v>
                </c:pt>
              </c:strCache>
            </c:strRef>
          </c:tx>
          <c:spPr>
            <a:ln w="28575" cap="rnd" cmpd="sng">
              <a:solidFill>
                <a:srgbClr val="FF0000"/>
              </a:solidFill>
              <a:round/>
            </a:ln>
            <a:effectLst/>
          </c:spPr>
          <c:marker>
            <c:symbol val="none"/>
          </c:marker>
          <c:cat>
            <c:strRef>
              <c:f>'Times interest earned'!$L$2:$AJ$2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'Times interest earned'!$L$11:$AJ$11</c:f>
              <c:numCache>
                <c:formatCode>0.000_);[Red]\(0.000\)</c:formatCode>
                <c:ptCount val="25"/>
                <c:pt idx="0" formatCode="General">
                  <c:v>0</c:v>
                </c:pt>
                <c:pt idx="1">
                  <c:v>-3.7328274476017081E-2</c:v>
                </c:pt>
                <c:pt idx="2">
                  <c:v>-2.2063080593289208E-3</c:v>
                </c:pt>
                <c:pt idx="3">
                  <c:v>4.2108361378472986E-3</c:v>
                </c:pt>
                <c:pt idx="4">
                  <c:v>9.6610311731462617E-4</c:v>
                </c:pt>
                <c:pt idx="5">
                  <c:v>1.0212369955272665E-3</c:v>
                </c:pt>
                <c:pt idx="6">
                  <c:v>-6.3235303151278191E-2</c:v>
                </c:pt>
                <c:pt idx="7">
                  <c:v>-7.8793297020575276E-2</c:v>
                </c:pt>
                <c:pt idx="8">
                  <c:v>1.9359119123916815E-2</c:v>
                </c:pt>
                <c:pt idx="9">
                  <c:v>8.2174787366423377E-2</c:v>
                </c:pt>
                <c:pt idx="10">
                  <c:v>0.1481433546362742</c:v>
                </c:pt>
                <c:pt idx="11">
                  <c:v>0.15658147340103273</c:v>
                </c:pt>
                <c:pt idx="12">
                  <c:v>8.4304339153570551E-3</c:v>
                </c:pt>
                <c:pt idx="13">
                  <c:v>3.8891129365051236E-3</c:v>
                </c:pt>
                <c:pt idx="14">
                  <c:v>8.3347479804761232E-2</c:v>
                </c:pt>
                <c:pt idx="15">
                  <c:v>4.3531927572890523E-3</c:v>
                </c:pt>
                <c:pt idx="16">
                  <c:v>-1.2760114955865764E-2</c:v>
                </c:pt>
                <c:pt idx="17">
                  <c:v>-6.4388021547884255E-4</c:v>
                </c:pt>
                <c:pt idx="18">
                  <c:v>-4.7649737869771315E-2</c:v>
                </c:pt>
                <c:pt idx="19">
                  <c:v>-4.7361325414733001E-2</c:v>
                </c:pt>
                <c:pt idx="20">
                  <c:v>4.6716472896098059E-2</c:v>
                </c:pt>
                <c:pt idx="21">
                  <c:v>0.1301960747071528</c:v>
                </c:pt>
                <c:pt idx="22">
                  <c:v>0.13317784736201979</c:v>
                </c:pt>
                <c:pt idx="23">
                  <c:v>7.0390488082011357E-2</c:v>
                </c:pt>
                <c:pt idx="24">
                  <c:v>-8.6937041550994645E-2</c:v>
                </c:pt>
              </c:numCache>
            </c:numRef>
          </c:val>
          <c:smooth val="0"/>
          <c:extLst>
            <c:ext xmlns:c16="http://schemas.microsoft.com/office/drawing/2014/chart" uri="{C3380CC4-5D6E-409C-BE32-E72D297353CC}">
              <c16:uniqueId val="{00000000-510E-9C49-9D81-12A305362E22}"/>
            </c:ext>
          </c:extLst>
        </c:ser>
        <c:ser>
          <c:idx val="1"/>
          <c:order val="1"/>
          <c:tx>
            <c:strRef>
              <c:f>'Times interest earned'!$J$15:$K$15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'Times interest earned'!$L$2:$AJ$2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'Times interest earned'!$L$24:$AJ$24</c:f>
              <c:numCache>
                <c:formatCode>0.000_);[Red]\(0.000\)</c:formatCode>
                <c:ptCount val="25"/>
                <c:pt idx="0" formatCode="General">
                  <c:v>0</c:v>
                </c:pt>
                <c:pt idx="1">
                  <c:v>-9.5802077549293943E-2</c:v>
                </c:pt>
                <c:pt idx="2">
                  <c:v>-9.3224048320166078E-2</c:v>
                </c:pt>
                <c:pt idx="3">
                  <c:v>-0.11353873047249589</c:v>
                </c:pt>
                <c:pt idx="4">
                  <c:v>-8.5940204429008085E-2</c:v>
                </c:pt>
                <c:pt idx="5">
                  <c:v>-0.15536188649461016</c:v>
                </c:pt>
                <c:pt idx="6">
                  <c:v>-0.20241316821151489</c:v>
                </c:pt>
                <c:pt idx="7">
                  <c:v>-0.20147320450101097</c:v>
                </c:pt>
                <c:pt idx="8">
                  <c:v>-0.13885809443576985</c:v>
                </c:pt>
                <c:pt idx="9">
                  <c:v>-6.8554032237428286E-2</c:v>
                </c:pt>
                <c:pt idx="10">
                  <c:v>-1.6047414614327724E-2</c:v>
                </c:pt>
                <c:pt idx="11">
                  <c:v>5.0321826817284171E-2</c:v>
                </c:pt>
                <c:pt idx="12">
                  <c:v>-0.1011375159113672</c:v>
                </c:pt>
                <c:pt idx="13">
                  <c:v>-0.20432955799358016</c:v>
                </c:pt>
                <c:pt idx="14">
                  <c:v>-0.13215863488497398</c:v>
                </c:pt>
                <c:pt idx="15">
                  <c:v>-0.30199466224361249</c:v>
                </c:pt>
                <c:pt idx="16">
                  <c:v>-0.30698379290024858</c:v>
                </c:pt>
                <c:pt idx="17">
                  <c:v>-0.37444579847323434</c:v>
                </c:pt>
                <c:pt idx="18">
                  <c:v>-0.36977286982892332</c:v>
                </c:pt>
                <c:pt idx="19">
                  <c:v>-0.44116481485578946</c:v>
                </c:pt>
                <c:pt idx="20">
                  <c:v>-0.39718270339845435</c:v>
                </c:pt>
                <c:pt idx="21">
                  <c:v>-0.29483558397729603</c:v>
                </c:pt>
                <c:pt idx="22">
                  <c:v>-0.30023679955525379</c:v>
                </c:pt>
                <c:pt idx="23">
                  <c:v>-0.26781235382072793</c:v>
                </c:pt>
                <c:pt idx="24">
                  <c:v>-0.384834681040717</c:v>
                </c:pt>
              </c:numCache>
            </c:numRef>
          </c:val>
          <c:smooth val="0"/>
          <c:extLst>
            <c:ext xmlns:c16="http://schemas.microsoft.com/office/drawing/2014/chart" uri="{C3380CC4-5D6E-409C-BE32-E72D297353CC}">
              <c16:uniqueId val="{00000001-510E-9C49-9D81-12A305362E22}"/>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Times interest earned</a:t>
            </a:r>
            <a:r>
              <a:rPr lang="ko-KR" altLang="ko-KR" sz="3000">
                <a:effectLst/>
              </a:rPr>
              <a:t> </a:t>
            </a:r>
          </a:p>
        </c:rich>
      </c:tx>
      <c:overlay val="0"/>
      <c:spPr>
        <a:noFill/>
        <a:ln>
          <a:noFill/>
        </a:ln>
        <a:effectLst/>
      </c:spPr>
    </c:title>
    <c:autoTitleDeleted val="0"/>
    <c:plotArea>
      <c:layout>
        <c:manualLayout>
          <c:layoutTarget val="inner"/>
          <c:xMode val="edge"/>
          <c:yMode val="edge"/>
          <c:x val="7.7283680465818544E-2"/>
          <c:y val="0.12519563580675788"/>
          <c:w val="0.73197923430302936"/>
          <c:h val="0.73600796748814845"/>
        </c:manualLayout>
      </c:layout>
      <c:lineChart>
        <c:grouping val="standard"/>
        <c:varyColors val="0"/>
        <c:ser>
          <c:idx val="0"/>
          <c:order val="0"/>
          <c:tx>
            <c:strRef>
              <c:f>'Times interest earned'!$J$2:$K$2</c:f>
              <c:strCache>
                <c:ptCount val="2"/>
                <c:pt idx="0">
                  <c:v>GOOD</c:v>
                </c:pt>
              </c:strCache>
            </c:strRef>
          </c:tx>
          <c:spPr>
            <a:ln w="28575" cap="rnd" cmpd="sng">
              <a:solidFill>
                <a:srgbClr val="FF0000"/>
              </a:solidFill>
              <a:round/>
            </a:ln>
            <a:effectLst/>
          </c:spPr>
          <c:marker>
            <c:symbol val="none"/>
          </c:marker>
          <c:cat>
            <c:strRef>
              <c:f>'Times interest earned'!$L$2:$AJ$2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'Times interest earned'!$L$11:$AJ$11</c:f>
              <c:numCache>
                <c:formatCode>0.000_);[Red]\(0.000\)</c:formatCode>
                <c:ptCount val="25"/>
                <c:pt idx="0" formatCode="General">
                  <c:v>0</c:v>
                </c:pt>
                <c:pt idx="1">
                  <c:v>-3.7328274476017081E-2</c:v>
                </c:pt>
                <c:pt idx="2">
                  <c:v>-2.2063080593289208E-3</c:v>
                </c:pt>
                <c:pt idx="3">
                  <c:v>4.2108361378472986E-3</c:v>
                </c:pt>
                <c:pt idx="4">
                  <c:v>9.6610311731462617E-4</c:v>
                </c:pt>
                <c:pt idx="5">
                  <c:v>1.0212369955272665E-3</c:v>
                </c:pt>
                <c:pt idx="6">
                  <c:v>-6.3235303151278191E-2</c:v>
                </c:pt>
                <c:pt idx="7">
                  <c:v>-7.8793297020575276E-2</c:v>
                </c:pt>
                <c:pt idx="8">
                  <c:v>1.9359119123916815E-2</c:v>
                </c:pt>
                <c:pt idx="9">
                  <c:v>8.2174787366423377E-2</c:v>
                </c:pt>
                <c:pt idx="10">
                  <c:v>0.1481433546362742</c:v>
                </c:pt>
                <c:pt idx="11">
                  <c:v>0.15658147340103273</c:v>
                </c:pt>
                <c:pt idx="12">
                  <c:v>8.4304339153570551E-3</c:v>
                </c:pt>
                <c:pt idx="13">
                  <c:v>3.8891129365051236E-3</c:v>
                </c:pt>
                <c:pt idx="14">
                  <c:v>8.3347479804761232E-2</c:v>
                </c:pt>
                <c:pt idx="15">
                  <c:v>4.3531927572890523E-3</c:v>
                </c:pt>
                <c:pt idx="16">
                  <c:v>-1.2760114955865764E-2</c:v>
                </c:pt>
                <c:pt idx="17">
                  <c:v>-6.4388021547884255E-4</c:v>
                </c:pt>
                <c:pt idx="18">
                  <c:v>-4.7649737869771315E-2</c:v>
                </c:pt>
                <c:pt idx="19">
                  <c:v>-4.7361325414733001E-2</c:v>
                </c:pt>
                <c:pt idx="20">
                  <c:v>4.6716472896098059E-2</c:v>
                </c:pt>
                <c:pt idx="21">
                  <c:v>0.1301960747071528</c:v>
                </c:pt>
                <c:pt idx="22">
                  <c:v>0.13317784736201979</c:v>
                </c:pt>
                <c:pt idx="23">
                  <c:v>7.0390488082011357E-2</c:v>
                </c:pt>
                <c:pt idx="24">
                  <c:v>-8.6937041550994645E-2</c:v>
                </c:pt>
              </c:numCache>
            </c:numRef>
          </c:val>
          <c:smooth val="0"/>
          <c:extLst>
            <c:ext xmlns:c16="http://schemas.microsoft.com/office/drawing/2014/chart" uri="{C3380CC4-5D6E-409C-BE32-E72D297353CC}">
              <c16:uniqueId val="{00000000-CBFE-3340-A0D3-D407A546BBCA}"/>
            </c:ext>
          </c:extLst>
        </c:ser>
        <c:ser>
          <c:idx val="1"/>
          <c:order val="1"/>
          <c:tx>
            <c:strRef>
              <c:f>'Times interest earned'!$J$15:$K$15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'Times interest earned'!$L$2:$AJ$2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'Times interest earned'!$L$24:$AJ$24</c:f>
              <c:numCache>
                <c:formatCode>0.000_);[Red]\(0.000\)</c:formatCode>
                <c:ptCount val="25"/>
                <c:pt idx="0" formatCode="General">
                  <c:v>0</c:v>
                </c:pt>
                <c:pt idx="1">
                  <c:v>-9.5802077549293943E-2</c:v>
                </c:pt>
                <c:pt idx="2">
                  <c:v>-9.3224048320166078E-2</c:v>
                </c:pt>
                <c:pt idx="3">
                  <c:v>-0.11353873047249589</c:v>
                </c:pt>
                <c:pt idx="4">
                  <c:v>-8.5940204429008085E-2</c:v>
                </c:pt>
                <c:pt idx="5">
                  <c:v>-0.15536188649461016</c:v>
                </c:pt>
                <c:pt idx="6">
                  <c:v>-0.20241316821151489</c:v>
                </c:pt>
                <c:pt idx="7">
                  <c:v>-0.20147320450101097</c:v>
                </c:pt>
                <c:pt idx="8">
                  <c:v>-0.13885809443576985</c:v>
                </c:pt>
                <c:pt idx="9">
                  <c:v>-6.8554032237428286E-2</c:v>
                </c:pt>
                <c:pt idx="10">
                  <c:v>-1.6047414614327724E-2</c:v>
                </c:pt>
                <c:pt idx="11">
                  <c:v>5.0321826817284171E-2</c:v>
                </c:pt>
                <c:pt idx="12">
                  <c:v>-0.1011375159113672</c:v>
                </c:pt>
                <c:pt idx="13">
                  <c:v>-0.20432955799358016</c:v>
                </c:pt>
                <c:pt idx="14">
                  <c:v>-0.13215863488497398</c:v>
                </c:pt>
                <c:pt idx="15">
                  <c:v>-0.30199466224361249</c:v>
                </c:pt>
                <c:pt idx="16">
                  <c:v>-0.30698379290024858</c:v>
                </c:pt>
                <c:pt idx="17">
                  <c:v>-0.37444579847323434</c:v>
                </c:pt>
                <c:pt idx="18">
                  <c:v>-0.36977286982892332</c:v>
                </c:pt>
                <c:pt idx="19">
                  <c:v>-0.44116481485578946</c:v>
                </c:pt>
                <c:pt idx="20">
                  <c:v>-0.39718270339845435</c:v>
                </c:pt>
                <c:pt idx="21">
                  <c:v>-0.29483558397729603</c:v>
                </c:pt>
                <c:pt idx="22">
                  <c:v>-0.30023679955525379</c:v>
                </c:pt>
                <c:pt idx="23">
                  <c:v>-0.26781235382072793</c:v>
                </c:pt>
                <c:pt idx="24">
                  <c:v>-0.384834681040717</c:v>
                </c:pt>
              </c:numCache>
            </c:numRef>
          </c:val>
          <c:smooth val="0"/>
          <c:extLst>
            <c:ext xmlns:c16="http://schemas.microsoft.com/office/drawing/2014/chart" uri="{C3380CC4-5D6E-409C-BE32-E72D297353CC}">
              <c16:uniqueId val="{00000001-CBFE-3340-A0D3-D407A546BBCA}"/>
            </c:ext>
          </c:extLst>
        </c:ser>
        <c:ser>
          <c:idx val="2"/>
          <c:order val="2"/>
          <c:tx>
            <c:strRef>
              <c:f>'Times interest earned'!$J$68:$K$68</c:f>
              <c:strCache>
                <c:ptCount val="2"/>
                <c:pt idx="0">
                  <c:v>Industry average</c:v>
                </c:pt>
              </c:strCache>
            </c:strRef>
          </c:tx>
          <c:spPr>
            <a:ln w="28575">
              <a:solidFill>
                <a:schemeClr val="accent6"/>
              </a:solidFill>
            </a:ln>
          </c:spPr>
          <c:marker>
            <c:symbol val="none"/>
          </c:marker>
          <c:cat>
            <c:strRef>
              <c:f>'Times interest earned'!$L$2:$AJ$2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'Times interest earned'!$L$73:$AJ$73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CBFE-3340-A0D3-D407A546BBCA}"/>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1014984559224923"/>
          <c:y val="0.11421934967812067"/>
          <c:w val="0.18985015440775063"/>
          <c:h val="0.16027155284025504"/>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Debt-to-equity ratio</a:t>
            </a:r>
            <a:r>
              <a:rPr lang="ko-KR" altLang="ko-KR" sz="3000">
                <a:effectLst/>
              </a:rPr>
              <a:t> </a:t>
            </a:r>
          </a:p>
        </c:rich>
      </c:tx>
      <c:overlay val="0"/>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'Debt-to-equity ratio'!$J$2:$K$2</c:f>
              <c:strCache>
                <c:ptCount val="2"/>
                <c:pt idx="0">
                  <c:v>GOOD</c:v>
                </c:pt>
              </c:strCache>
            </c:strRef>
          </c:tx>
          <c:spPr>
            <a:ln w="28575" cap="rnd" cmpd="sng">
              <a:solidFill>
                <a:srgbClr val="FF0000"/>
              </a:solidFill>
              <a:round/>
            </a:ln>
            <a:effectLst/>
          </c:spPr>
          <c:marker>
            <c:symbol val="none"/>
          </c:marker>
          <c:cat>
            <c:strRef>
              <c:f>'Debt-to-equity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'Debt-to-equity ratio'!$L$11:$AJ$11</c:f>
              <c:numCache>
                <c:formatCode>0.000_);[Red]\(0.000\)</c:formatCode>
                <c:ptCount val="25"/>
                <c:pt idx="0" formatCode="General">
                  <c:v>0</c:v>
                </c:pt>
                <c:pt idx="1">
                  <c:v>-5.5013609453283555E-2</c:v>
                </c:pt>
                <c:pt idx="2">
                  <c:v>-6.3579663141020981E-3</c:v>
                </c:pt>
                <c:pt idx="3">
                  <c:v>-7.1414524137905264E-2</c:v>
                </c:pt>
                <c:pt idx="4">
                  <c:v>-6.0843318450851808E-2</c:v>
                </c:pt>
                <c:pt idx="5">
                  <c:v>-6.2148078465107101E-2</c:v>
                </c:pt>
                <c:pt idx="6">
                  <c:v>-8.5254193600168629E-2</c:v>
                </c:pt>
                <c:pt idx="7">
                  <c:v>-4.756003765235671E-2</c:v>
                </c:pt>
                <c:pt idx="8">
                  <c:v>6.7487648491993735E-2</c:v>
                </c:pt>
                <c:pt idx="9">
                  <c:v>8.3474045960117732E-2</c:v>
                </c:pt>
                <c:pt idx="10">
                  <c:v>0.17938261052584573</c:v>
                </c:pt>
                <c:pt idx="11">
                  <c:v>0.16919488368290733</c:v>
                </c:pt>
                <c:pt idx="12">
                  <c:v>9.4295282774792266E-4</c:v>
                </c:pt>
                <c:pt idx="13">
                  <c:v>3.3750853678467252E-3</c:v>
                </c:pt>
                <c:pt idx="14">
                  <c:v>0.16160126786910323</c:v>
                </c:pt>
                <c:pt idx="15">
                  <c:v>0.16045179219004554</c:v>
                </c:pt>
                <c:pt idx="16">
                  <c:v>0.1657737055335049</c:v>
                </c:pt>
                <c:pt idx="17">
                  <c:v>0.19751452018362237</c:v>
                </c:pt>
                <c:pt idx="18">
                  <c:v>0.19529020726663671</c:v>
                </c:pt>
                <c:pt idx="19">
                  <c:v>0.23574882029142055</c:v>
                </c:pt>
                <c:pt idx="20">
                  <c:v>0.42069792520385957</c:v>
                </c:pt>
                <c:pt idx="21">
                  <c:v>0.46364948755227697</c:v>
                </c:pt>
                <c:pt idx="22">
                  <c:v>0.49072862258755851</c:v>
                </c:pt>
                <c:pt idx="23">
                  <c:v>0.44849488084275507</c:v>
                </c:pt>
                <c:pt idx="24">
                  <c:v>0.24023554956431106</c:v>
                </c:pt>
              </c:numCache>
            </c:numRef>
          </c:val>
          <c:smooth val="0"/>
          <c:extLst>
            <c:ext xmlns:c16="http://schemas.microsoft.com/office/drawing/2014/chart" uri="{C3380CC4-5D6E-409C-BE32-E72D297353CC}">
              <c16:uniqueId val="{00000000-8C89-634F-BF38-285336B2F724}"/>
            </c:ext>
          </c:extLst>
        </c:ser>
        <c:ser>
          <c:idx val="1"/>
          <c:order val="1"/>
          <c:tx>
            <c:strRef>
              <c:f>'Debt-to-equity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'Debt-to-equity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'Debt-to-equity ratio'!$L$24:$AJ$24</c:f>
              <c:numCache>
                <c:formatCode>0.000_);[Red]\(0.000\)</c:formatCode>
                <c:ptCount val="25"/>
                <c:pt idx="0" formatCode="General">
                  <c:v>0</c:v>
                </c:pt>
                <c:pt idx="1">
                  <c:v>-7.5124042198449231E-2</c:v>
                </c:pt>
                <c:pt idx="2">
                  <c:v>-5.2569361256619068E-2</c:v>
                </c:pt>
                <c:pt idx="3">
                  <c:v>-6.4368830569532243E-2</c:v>
                </c:pt>
                <c:pt idx="4">
                  <c:v>-8.6813242768929974E-2</c:v>
                </c:pt>
                <c:pt idx="5">
                  <c:v>-9.5172335163005245E-2</c:v>
                </c:pt>
                <c:pt idx="6">
                  <c:v>-0.17441764751293692</c:v>
                </c:pt>
                <c:pt idx="7">
                  <c:v>-0.15109277508552643</c:v>
                </c:pt>
                <c:pt idx="8">
                  <c:v>-7.4798654593846325E-2</c:v>
                </c:pt>
                <c:pt idx="9">
                  <c:v>-4.6886718046162679E-3</c:v>
                </c:pt>
                <c:pt idx="10">
                  <c:v>2.5487373396286636E-2</c:v>
                </c:pt>
                <c:pt idx="11">
                  <c:v>5.1130188677361091E-2</c:v>
                </c:pt>
                <c:pt idx="12">
                  <c:v>-8.0200380622755543E-2</c:v>
                </c:pt>
                <c:pt idx="13">
                  <c:v>-0.12178719233365401</c:v>
                </c:pt>
                <c:pt idx="14">
                  <c:v>-4.2664460560309619E-2</c:v>
                </c:pt>
                <c:pt idx="15">
                  <c:v>-0.11541235805618598</c:v>
                </c:pt>
                <c:pt idx="16">
                  <c:v>-0.14956344687758302</c:v>
                </c:pt>
                <c:pt idx="17">
                  <c:v>-0.16146102857230085</c:v>
                </c:pt>
                <c:pt idx="18">
                  <c:v>-0.20897616393323393</c:v>
                </c:pt>
                <c:pt idx="19">
                  <c:v>-0.19230156178925636</c:v>
                </c:pt>
                <c:pt idx="20">
                  <c:v>-0.1197204900399122</c:v>
                </c:pt>
                <c:pt idx="21">
                  <c:v>-9.8861199603876112E-5</c:v>
                </c:pt>
                <c:pt idx="22">
                  <c:v>-4.4302770504110094E-3</c:v>
                </c:pt>
                <c:pt idx="23">
                  <c:v>-1.6289572295732118E-2</c:v>
                </c:pt>
                <c:pt idx="24">
                  <c:v>-0.14070448624290274</c:v>
                </c:pt>
              </c:numCache>
            </c:numRef>
          </c:val>
          <c:smooth val="0"/>
          <c:extLst>
            <c:ext xmlns:c16="http://schemas.microsoft.com/office/drawing/2014/chart" uri="{C3380CC4-5D6E-409C-BE32-E72D297353CC}">
              <c16:uniqueId val="{00000001-8C89-634F-BF38-285336B2F724}"/>
            </c:ext>
          </c:extLst>
        </c:ser>
        <c:ser>
          <c:idx val="2"/>
          <c:order val="2"/>
          <c:tx>
            <c:strRef>
              <c:f>'Debt-to-equity ratio'!$J$26:$K$26</c:f>
              <c:strCache>
                <c:ptCount val="2"/>
                <c:pt idx="0">
                  <c:v>S&amp;P 500</c:v>
                </c:pt>
              </c:strCache>
            </c:strRef>
          </c:tx>
          <c:spPr>
            <a:ln w="28575">
              <a:solidFill>
                <a:schemeClr val="accent4"/>
              </a:solidFill>
            </a:ln>
          </c:spPr>
          <c:marker>
            <c:symbol val="none"/>
          </c:marker>
          <c:cat>
            <c:strRef>
              <c:f>'Debt-to-equity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'Debt-to-equity ratio'!$L$31:$AJ$31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8C89-634F-BF38-285336B2F724}"/>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Debt-to-equity ratio</a:t>
            </a:r>
            <a:r>
              <a:rPr lang="ko-KR" altLang="ko-KR" sz="3000">
                <a:effectLst/>
              </a:rPr>
              <a:t> </a:t>
            </a:r>
          </a:p>
        </c:rich>
      </c:tx>
      <c:overlay val="0"/>
      <c:spPr>
        <a:noFill/>
        <a:ln>
          <a:noFill/>
        </a:ln>
        <a:effectLst/>
      </c:spPr>
    </c:title>
    <c:autoTitleDeleted val="0"/>
    <c:plotArea>
      <c:layout>
        <c:manualLayout>
          <c:layoutTarget val="inner"/>
          <c:xMode val="edge"/>
          <c:yMode val="edge"/>
          <c:x val="0.13330744822015808"/>
          <c:y val="0.12736631091246606"/>
          <c:w val="0.73197923430302936"/>
          <c:h val="0.73600796748814845"/>
        </c:manualLayout>
      </c:layout>
      <c:lineChart>
        <c:grouping val="standard"/>
        <c:varyColors val="0"/>
        <c:ser>
          <c:idx val="0"/>
          <c:order val="0"/>
          <c:tx>
            <c:strRef>
              <c:f>'Debt-to-equity ratio'!$J$2:$K$2</c:f>
              <c:strCache>
                <c:ptCount val="2"/>
                <c:pt idx="0">
                  <c:v>GOOD</c:v>
                </c:pt>
              </c:strCache>
            </c:strRef>
          </c:tx>
          <c:spPr>
            <a:ln w="28575" cap="rnd" cmpd="sng">
              <a:solidFill>
                <a:srgbClr val="FF0000"/>
              </a:solidFill>
              <a:round/>
            </a:ln>
            <a:effectLst/>
          </c:spPr>
          <c:marker>
            <c:symbol val="none"/>
          </c:marker>
          <c:cat>
            <c:strRef>
              <c:f>'Debt-to-equity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'Debt-to-equity ratio'!$L$11:$AJ$11</c:f>
              <c:numCache>
                <c:formatCode>0.000_);[Red]\(0.000\)</c:formatCode>
                <c:ptCount val="25"/>
                <c:pt idx="0" formatCode="General">
                  <c:v>0</c:v>
                </c:pt>
                <c:pt idx="1">
                  <c:v>-5.5013609453283555E-2</c:v>
                </c:pt>
                <c:pt idx="2">
                  <c:v>-6.3579663141020981E-3</c:v>
                </c:pt>
                <c:pt idx="3">
                  <c:v>-7.1414524137905264E-2</c:v>
                </c:pt>
                <c:pt idx="4">
                  <c:v>-6.0843318450851808E-2</c:v>
                </c:pt>
                <c:pt idx="5">
                  <c:v>-6.2148078465107101E-2</c:v>
                </c:pt>
                <c:pt idx="6">
                  <c:v>-8.5254193600168629E-2</c:v>
                </c:pt>
                <c:pt idx="7">
                  <c:v>-4.756003765235671E-2</c:v>
                </c:pt>
                <c:pt idx="8">
                  <c:v>6.7487648491993735E-2</c:v>
                </c:pt>
                <c:pt idx="9">
                  <c:v>8.3474045960117732E-2</c:v>
                </c:pt>
                <c:pt idx="10">
                  <c:v>0.17938261052584573</c:v>
                </c:pt>
                <c:pt idx="11">
                  <c:v>0.16919488368290733</c:v>
                </c:pt>
                <c:pt idx="12">
                  <c:v>9.4295282774792266E-4</c:v>
                </c:pt>
                <c:pt idx="13">
                  <c:v>3.3750853678467252E-3</c:v>
                </c:pt>
                <c:pt idx="14">
                  <c:v>0.16160126786910323</c:v>
                </c:pt>
                <c:pt idx="15">
                  <c:v>0.16045179219004554</c:v>
                </c:pt>
                <c:pt idx="16">
                  <c:v>0.1657737055335049</c:v>
                </c:pt>
                <c:pt idx="17">
                  <c:v>0.19751452018362237</c:v>
                </c:pt>
                <c:pt idx="18">
                  <c:v>0.19529020726663671</c:v>
                </c:pt>
                <c:pt idx="19">
                  <c:v>0.23574882029142055</c:v>
                </c:pt>
                <c:pt idx="20">
                  <c:v>0.42069792520385957</c:v>
                </c:pt>
                <c:pt idx="21">
                  <c:v>0.46364948755227697</c:v>
                </c:pt>
                <c:pt idx="22">
                  <c:v>0.49072862258755851</c:v>
                </c:pt>
                <c:pt idx="23">
                  <c:v>0.44849488084275507</c:v>
                </c:pt>
                <c:pt idx="24">
                  <c:v>0.24023554956431106</c:v>
                </c:pt>
              </c:numCache>
            </c:numRef>
          </c:val>
          <c:smooth val="0"/>
          <c:extLst>
            <c:ext xmlns:c16="http://schemas.microsoft.com/office/drawing/2014/chart" uri="{C3380CC4-5D6E-409C-BE32-E72D297353CC}">
              <c16:uniqueId val="{00000000-F27F-0E47-AE0D-0AD39DD9C030}"/>
            </c:ext>
          </c:extLst>
        </c:ser>
        <c:ser>
          <c:idx val="1"/>
          <c:order val="1"/>
          <c:tx>
            <c:strRef>
              <c:f>'Debt-to-equity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'Debt-to-equity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'Debt-to-equity ratio'!$L$24:$AJ$24</c:f>
              <c:numCache>
                <c:formatCode>0.000_);[Red]\(0.000\)</c:formatCode>
                <c:ptCount val="25"/>
                <c:pt idx="0" formatCode="General">
                  <c:v>0</c:v>
                </c:pt>
                <c:pt idx="1">
                  <c:v>-7.5124042198449231E-2</c:v>
                </c:pt>
                <c:pt idx="2">
                  <c:v>-5.2569361256619068E-2</c:v>
                </c:pt>
                <c:pt idx="3">
                  <c:v>-6.4368830569532243E-2</c:v>
                </c:pt>
                <c:pt idx="4">
                  <c:v>-8.6813242768929974E-2</c:v>
                </c:pt>
                <c:pt idx="5">
                  <c:v>-9.5172335163005245E-2</c:v>
                </c:pt>
                <c:pt idx="6">
                  <c:v>-0.17441764751293692</c:v>
                </c:pt>
                <c:pt idx="7">
                  <c:v>-0.15109277508552643</c:v>
                </c:pt>
                <c:pt idx="8">
                  <c:v>-7.4798654593846325E-2</c:v>
                </c:pt>
                <c:pt idx="9">
                  <c:v>-4.6886718046162679E-3</c:v>
                </c:pt>
                <c:pt idx="10">
                  <c:v>2.5487373396286636E-2</c:v>
                </c:pt>
                <c:pt idx="11">
                  <c:v>5.1130188677361091E-2</c:v>
                </c:pt>
                <c:pt idx="12">
                  <c:v>-8.0200380622755543E-2</c:v>
                </c:pt>
                <c:pt idx="13">
                  <c:v>-0.12178719233365401</c:v>
                </c:pt>
                <c:pt idx="14">
                  <c:v>-4.2664460560309619E-2</c:v>
                </c:pt>
                <c:pt idx="15">
                  <c:v>-0.11541235805618598</c:v>
                </c:pt>
                <c:pt idx="16">
                  <c:v>-0.14956344687758302</c:v>
                </c:pt>
                <c:pt idx="17">
                  <c:v>-0.16146102857230085</c:v>
                </c:pt>
                <c:pt idx="18">
                  <c:v>-0.20897616393323393</c:v>
                </c:pt>
                <c:pt idx="19">
                  <c:v>-0.19230156178925636</c:v>
                </c:pt>
                <c:pt idx="20">
                  <c:v>-0.1197204900399122</c:v>
                </c:pt>
                <c:pt idx="21">
                  <c:v>-9.8861199603876112E-5</c:v>
                </c:pt>
                <c:pt idx="22">
                  <c:v>-4.4302770504110094E-3</c:v>
                </c:pt>
                <c:pt idx="23">
                  <c:v>-1.6289572295732118E-2</c:v>
                </c:pt>
                <c:pt idx="24">
                  <c:v>-0.14070448624290274</c:v>
                </c:pt>
              </c:numCache>
            </c:numRef>
          </c:val>
          <c:smooth val="0"/>
          <c:extLst>
            <c:ext xmlns:c16="http://schemas.microsoft.com/office/drawing/2014/chart" uri="{C3380CC4-5D6E-409C-BE32-E72D297353CC}">
              <c16:uniqueId val="{00000001-F27F-0E47-AE0D-0AD39DD9C030}"/>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Debt-to-equity ratio</a:t>
            </a:r>
            <a:r>
              <a:rPr lang="ko-KR" altLang="ko-KR" sz="3000">
                <a:effectLst/>
              </a:rPr>
              <a:t> </a:t>
            </a:r>
          </a:p>
        </c:rich>
      </c:tx>
      <c:overlay val="0"/>
      <c:spPr>
        <a:noFill/>
        <a:ln>
          <a:noFill/>
        </a:ln>
        <a:effectLst/>
      </c:spPr>
    </c:title>
    <c:autoTitleDeleted val="0"/>
    <c:plotArea>
      <c:layout>
        <c:manualLayout>
          <c:layoutTarget val="inner"/>
          <c:xMode val="edge"/>
          <c:yMode val="edge"/>
          <c:x val="7.9149492017416528E-2"/>
          <c:y val="0.12519559301066163"/>
          <c:w val="0.73197923430302936"/>
          <c:h val="0.73600796748814845"/>
        </c:manualLayout>
      </c:layout>
      <c:lineChart>
        <c:grouping val="standard"/>
        <c:varyColors val="0"/>
        <c:ser>
          <c:idx val="0"/>
          <c:order val="0"/>
          <c:tx>
            <c:strRef>
              <c:f>'Debt-to-equity ratio'!$J$2:$K$2</c:f>
              <c:strCache>
                <c:ptCount val="2"/>
                <c:pt idx="0">
                  <c:v>GOOD</c:v>
                </c:pt>
              </c:strCache>
            </c:strRef>
          </c:tx>
          <c:spPr>
            <a:ln w="28575" cap="rnd" cmpd="sng">
              <a:solidFill>
                <a:srgbClr val="FF0000"/>
              </a:solidFill>
              <a:round/>
            </a:ln>
            <a:effectLst/>
          </c:spPr>
          <c:marker>
            <c:symbol val="none"/>
          </c:marker>
          <c:cat>
            <c:strRef>
              <c:f>'Debt-to-equity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'Debt-to-equity ratio'!$L$11:$AJ$11</c:f>
              <c:numCache>
                <c:formatCode>0.000_);[Red]\(0.000\)</c:formatCode>
                <c:ptCount val="25"/>
                <c:pt idx="0" formatCode="General">
                  <c:v>0</c:v>
                </c:pt>
                <c:pt idx="1">
                  <c:v>-5.5013609453283555E-2</c:v>
                </c:pt>
                <c:pt idx="2">
                  <c:v>-6.3579663141020981E-3</c:v>
                </c:pt>
                <c:pt idx="3">
                  <c:v>-7.1414524137905264E-2</c:v>
                </c:pt>
                <c:pt idx="4">
                  <c:v>-6.0843318450851808E-2</c:v>
                </c:pt>
                <c:pt idx="5">
                  <c:v>-6.2148078465107101E-2</c:v>
                </c:pt>
                <c:pt idx="6">
                  <c:v>-8.5254193600168629E-2</c:v>
                </c:pt>
                <c:pt idx="7">
                  <c:v>-4.756003765235671E-2</c:v>
                </c:pt>
                <c:pt idx="8">
                  <c:v>6.7487648491993735E-2</c:v>
                </c:pt>
                <c:pt idx="9">
                  <c:v>8.3474045960117732E-2</c:v>
                </c:pt>
                <c:pt idx="10">
                  <c:v>0.17938261052584573</c:v>
                </c:pt>
                <c:pt idx="11">
                  <c:v>0.16919488368290733</c:v>
                </c:pt>
                <c:pt idx="12">
                  <c:v>9.4295282774792266E-4</c:v>
                </c:pt>
                <c:pt idx="13">
                  <c:v>3.3750853678467252E-3</c:v>
                </c:pt>
                <c:pt idx="14">
                  <c:v>0.16160126786910323</c:v>
                </c:pt>
                <c:pt idx="15">
                  <c:v>0.16045179219004554</c:v>
                </c:pt>
                <c:pt idx="16">
                  <c:v>0.1657737055335049</c:v>
                </c:pt>
                <c:pt idx="17">
                  <c:v>0.19751452018362237</c:v>
                </c:pt>
                <c:pt idx="18">
                  <c:v>0.19529020726663671</c:v>
                </c:pt>
                <c:pt idx="19">
                  <c:v>0.23574882029142055</c:v>
                </c:pt>
                <c:pt idx="20">
                  <c:v>0.42069792520385957</c:v>
                </c:pt>
                <c:pt idx="21">
                  <c:v>0.46364948755227697</c:v>
                </c:pt>
                <c:pt idx="22">
                  <c:v>0.49072862258755851</c:v>
                </c:pt>
                <c:pt idx="23">
                  <c:v>0.44849488084275507</c:v>
                </c:pt>
                <c:pt idx="24">
                  <c:v>0.24023554956431106</c:v>
                </c:pt>
              </c:numCache>
            </c:numRef>
          </c:val>
          <c:smooth val="0"/>
          <c:extLst>
            <c:ext xmlns:c16="http://schemas.microsoft.com/office/drawing/2014/chart" uri="{C3380CC4-5D6E-409C-BE32-E72D297353CC}">
              <c16:uniqueId val="{00000000-A717-CE46-8C02-BFDF1FCE243F}"/>
            </c:ext>
          </c:extLst>
        </c:ser>
        <c:ser>
          <c:idx val="1"/>
          <c:order val="1"/>
          <c:tx>
            <c:strRef>
              <c:f>'Debt-to-equity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'Debt-to-equity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'Debt-to-equity ratio'!$L$24:$AJ$24</c:f>
              <c:numCache>
                <c:formatCode>0.000_);[Red]\(0.000\)</c:formatCode>
                <c:ptCount val="25"/>
                <c:pt idx="0" formatCode="General">
                  <c:v>0</c:v>
                </c:pt>
                <c:pt idx="1">
                  <c:v>-7.5124042198449231E-2</c:v>
                </c:pt>
                <c:pt idx="2">
                  <c:v>-5.2569361256619068E-2</c:v>
                </c:pt>
                <c:pt idx="3">
                  <c:v>-6.4368830569532243E-2</c:v>
                </c:pt>
                <c:pt idx="4">
                  <c:v>-8.6813242768929974E-2</c:v>
                </c:pt>
                <c:pt idx="5">
                  <c:v>-9.5172335163005245E-2</c:v>
                </c:pt>
                <c:pt idx="6">
                  <c:v>-0.17441764751293692</c:v>
                </c:pt>
                <c:pt idx="7">
                  <c:v>-0.15109277508552643</c:v>
                </c:pt>
                <c:pt idx="8">
                  <c:v>-7.4798654593846325E-2</c:v>
                </c:pt>
                <c:pt idx="9">
                  <c:v>-4.6886718046162679E-3</c:v>
                </c:pt>
                <c:pt idx="10">
                  <c:v>2.5487373396286636E-2</c:v>
                </c:pt>
                <c:pt idx="11">
                  <c:v>5.1130188677361091E-2</c:v>
                </c:pt>
                <c:pt idx="12">
                  <c:v>-8.0200380622755543E-2</c:v>
                </c:pt>
                <c:pt idx="13">
                  <c:v>-0.12178719233365401</c:v>
                </c:pt>
                <c:pt idx="14">
                  <c:v>-4.2664460560309619E-2</c:v>
                </c:pt>
                <c:pt idx="15">
                  <c:v>-0.11541235805618598</c:v>
                </c:pt>
                <c:pt idx="16">
                  <c:v>-0.14956344687758302</c:v>
                </c:pt>
                <c:pt idx="17">
                  <c:v>-0.16146102857230085</c:v>
                </c:pt>
                <c:pt idx="18">
                  <c:v>-0.20897616393323393</c:v>
                </c:pt>
                <c:pt idx="19">
                  <c:v>-0.19230156178925636</c:v>
                </c:pt>
                <c:pt idx="20">
                  <c:v>-0.1197204900399122</c:v>
                </c:pt>
                <c:pt idx="21">
                  <c:v>-9.8861199603876112E-5</c:v>
                </c:pt>
                <c:pt idx="22">
                  <c:v>-4.4302770504110094E-3</c:v>
                </c:pt>
                <c:pt idx="23">
                  <c:v>-1.6289572295732118E-2</c:v>
                </c:pt>
                <c:pt idx="24">
                  <c:v>-0.14070448624290274</c:v>
                </c:pt>
              </c:numCache>
            </c:numRef>
          </c:val>
          <c:smooth val="0"/>
          <c:extLst>
            <c:ext xmlns:c16="http://schemas.microsoft.com/office/drawing/2014/chart" uri="{C3380CC4-5D6E-409C-BE32-E72D297353CC}">
              <c16:uniqueId val="{00000001-A717-CE46-8C02-BFDF1FCE243F}"/>
            </c:ext>
          </c:extLst>
        </c:ser>
        <c:ser>
          <c:idx val="2"/>
          <c:order val="2"/>
          <c:tx>
            <c:strRef>
              <c:f>'Debt-to-equity ratio'!$J$68:$K$68</c:f>
              <c:strCache>
                <c:ptCount val="2"/>
                <c:pt idx="0">
                  <c:v>Industry average</c:v>
                </c:pt>
              </c:strCache>
            </c:strRef>
          </c:tx>
          <c:spPr>
            <a:ln w="28575">
              <a:solidFill>
                <a:schemeClr val="accent6"/>
              </a:solidFill>
            </a:ln>
          </c:spPr>
          <c:marker>
            <c:symbol val="none"/>
          </c:marker>
          <c:cat>
            <c:strRef>
              <c:f>'Debt-to-equity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'Debt-to-equity ratio'!$L$73:$AJ$73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A717-CE46-8C02-BFDF1FCE243F}"/>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1090920819222712"/>
          <c:y val="0.11204866619026434"/>
          <c:w val="0.187725420631081"/>
          <c:h val="0.1602714980540258"/>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Equity multiplier</a:t>
            </a:r>
            <a:r>
              <a:rPr lang="ko-KR" altLang="ko-KR" sz="3000">
                <a:effectLst/>
              </a:rPr>
              <a:t> </a:t>
            </a:r>
          </a:p>
        </c:rich>
      </c:tx>
      <c:overlay val="0"/>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'Equity multiplier'!$J$2:$K$2</c:f>
              <c:strCache>
                <c:ptCount val="2"/>
                <c:pt idx="0">
                  <c:v>GOOD</c:v>
                </c:pt>
              </c:strCache>
            </c:strRef>
          </c:tx>
          <c:spPr>
            <a:ln w="28575" cap="rnd" cmpd="sng">
              <a:solidFill>
                <a:srgbClr val="FF0000"/>
              </a:solidFill>
              <a:round/>
            </a:ln>
            <a:effectLst/>
          </c:spPr>
          <c:marker>
            <c:symbol val="none"/>
          </c:marker>
          <c:cat>
            <c:strRef>
              <c:f>'Equity multiplier'!$L$2:$AJ$2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'Equity multiplier'!$L$11:$AJ$11</c:f>
              <c:numCache>
                <c:formatCode>0.000_);[Red]\(0.000\)</c:formatCode>
                <c:ptCount val="25"/>
                <c:pt idx="0" formatCode="General">
                  <c:v>0</c:v>
                </c:pt>
                <c:pt idx="1">
                  <c:v>-4.3500513825303358E-2</c:v>
                </c:pt>
                <c:pt idx="2">
                  <c:v>6.4861375735732751E-3</c:v>
                </c:pt>
                <c:pt idx="3">
                  <c:v>-3.6960906427484327E-2</c:v>
                </c:pt>
                <c:pt idx="4">
                  <c:v>-1.6122507564519453E-2</c:v>
                </c:pt>
                <c:pt idx="5">
                  <c:v>-1.0813239317336895E-2</c:v>
                </c:pt>
                <c:pt idx="6">
                  <c:v>-3.8155302604708549E-2</c:v>
                </c:pt>
                <c:pt idx="7">
                  <c:v>1.3757757799252465E-2</c:v>
                </c:pt>
                <c:pt idx="8">
                  <c:v>0.13354744489907144</c:v>
                </c:pt>
                <c:pt idx="9">
                  <c:v>0.16790189907034819</c:v>
                </c:pt>
                <c:pt idx="10">
                  <c:v>0.2383140256108314</c:v>
                </c:pt>
                <c:pt idx="11">
                  <c:v>0.21795570406383286</c:v>
                </c:pt>
                <c:pt idx="12">
                  <c:v>5.2989097752497286E-2</c:v>
                </c:pt>
                <c:pt idx="13">
                  <c:v>4.5449879326160667E-2</c:v>
                </c:pt>
                <c:pt idx="14">
                  <c:v>0.22387776184033706</c:v>
                </c:pt>
                <c:pt idx="15">
                  <c:v>0.16045179219004554</c:v>
                </c:pt>
                <c:pt idx="16">
                  <c:v>0.1657737055335049</c:v>
                </c:pt>
                <c:pt idx="17">
                  <c:v>0.19751452018362237</c:v>
                </c:pt>
                <c:pt idx="18">
                  <c:v>0.19529020726663671</c:v>
                </c:pt>
                <c:pt idx="19">
                  <c:v>0.23574882029142055</c:v>
                </c:pt>
                <c:pt idx="20">
                  <c:v>0.42069792520385957</c:v>
                </c:pt>
                <c:pt idx="21">
                  <c:v>0.46364948755227697</c:v>
                </c:pt>
                <c:pt idx="22">
                  <c:v>0.49072862258755851</c:v>
                </c:pt>
                <c:pt idx="23">
                  <c:v>0.44849488084275507</c:v>
                </c:pt>
                <c:pt idx="24">
                  <c:v>0.24023554956431106</c:v>
                </c:pt>
              </c:numCache>
            </c:numRef>
          </c:val>
          <c:smooth val="0"/>
          <c:extLst>
            <c:ext xmlns:c16="http://schemas.microsoft.com/office/drawing/2014/chart" uri="{C3380CC4-5D6E-409C-BE32-E72D297353CC}">
              <c16:uniqueId val="{00000000-A40E-1B4E-948E-F7ADF5863E26}"/>
            </c:ext>
          </c:extLst>
        </c:ser>
        <c:ser>
          <c:idx val="1"/>
          <c:order val="1"/>
          <c:tx>
            <c:strRef>
              <c:f>'Equity multiplier'!$J$15:$K$15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'Equity multiplier'!$L$2:$AJ$2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'Equity multiplier'!$L$24:$AJ$24</c:f>
              <c:numCache>
                <c:formatCode>0.000_);[Red]\(0.000\)</c:formatCode>
                <c:ptCount val="25"/>
                <c:pt idx="0" formatCode="General">
                  <c:v>0</c:v>
                </c:pt>
                <c:pt idx="1">
                  <c:v>-0.1128881769442437</c:v>
                </c:pt>
                <c:pt idx="2">
                  <c:v>-9.1302148436984185E-2</c:v>
                </c:pt>
                <c:pt idx="3">
                  <c:v>-0.10150864613440422</c:v>
                </c:pt>
                <c:pt idx="4">
                  <c:v>-0.11441914322119934</c:v>
                </c:pt>
                <c:pt idx="5">
                  <c:v>-0.15019602280489061</c:v>
                </c:pt>
                <c:pt idx="6">
                  <c:v>-0.21174483499768337</c:v>
                </c:pt>
                <c:pt idx="7">
                  <c:v>-0.20696600493942086</c:v>
                </c:pt>
                <c:pt idx="8">
                  <c:v>-0.14957774897268089</c:v>
                </c:pt>
                <c:pt idx="9">
                  <c:v>-7.2976596613377548E-2</c:v>
                </c:pt>
                <c:pt idx="10">
                  <c:v>-7.8281060022094062E-2</c:v>
                </c:pt>
                <c:pt idx="11">
                  <c:v>-5.1779888166120724E-2</c:v>
                </c:pt>
                <c:pt idx="12">
                  <c:v>-0.17162519172135007</c:v>
                </c:pt>
                <c:pt idx="13">
                  <c:v>-0.22078645622019949</c:v>
                </c:pt>
                <c:pt idx="14">
                  <c:v>-0.15517367045178626</c:v>
                </c:pt>
                <c:pt idx="15">
                  <c:v>-0.25310743636699601</c:v>
                </c:pt>
                <c:pt idx="16">
                  <c:v>-0.26894865839531784</c:v>
                </c:pt>
                <c:pt idx="17">
                  <c:v>-0.29784231028431873</c:v>
                </c:pt>
                <c:pt idx="18">
                  <c:v>-0.32198945856682459</c:v>
                </c:pt>
                <c:pt idx="19">
                  <c:v>-0.3374470235411417</c:v>
                </c:pt>
                <c:pt idx="20">
                  <c:v>-0.28126296662439915</c:v>
                </c:pt>
                <c:pt idx="21">
                  <c:v>-0.16710266149649425</c:v>
                </c:pt>
                <c:pt idx="22">
                  <c:v>-0.21522358083231885</c:v>
                </c:pt>
                <c:pt idx="23">
                  <c:v>-0.20679913740161701</c:v>
                </c:pt>
                <c:pt idx="24">
                  <c:v>-0.33164654855691905</c:v>
                </c:pt>
              </c:numCache>
            </c:numRef>
          </c:val>
          <c:smooth val="0"/>
          <c:extLst>
            <c:ext xmlns:c16="http://schemas.microsoft.com/office/drawing/2014/chart" uri="{C3380CC4-5D6E-409C-BE32-E72D297353CC}">
              <c16:uniqueId val="{00000001-A40E-1B4E-948E-F7ADF5863E26}"/>
            </c:ext>
          </c:extLst>
        </c:ser>
        <c:ser>
          <c:idx val="2"/>
          <c:order val="2"/>
          <c:tx>
            <c:strRef>
              <c:f>'Equity multiplier'!$J$26:$K$26</c:f>
              <c:strCache>
                <c:ptCount val="2"/>
                <c:pt idx="0">
                  <c:v>S&amp;P 500</c:v>
                </c:pt>
              </c:strCache>
            </c:strRef>
          </c:tx>
          <c:spPr>
            <a:ln w="28575">
              <a:solidFill>
                <a:schemeClr val="accent4"/>
              </a:solidFill>
            </a:ln>
          </c:spPr>
          <c:marker>
            <c:symbol val="none"/>
          </c:marker>
          <c:cat>
            <c:strRef>
              <c:f>'Equity multiplier'!$L$2:$AJ$2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'Equity multiplier'!$L$31:$AJ$31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A40E-1B4E-948E-F7ADF5863E26}"/>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Equity multiplier</a:t>
            </a:r>
            <a:r>
              <a:rPr lang="ko-KR" altLang="ko-KR" sz="3000">
                <a:effectLst/>
              </a:rPr>
              <a:t> </a:t>
            </a:r>
          </a:p>
        </c:rich>
      </c:tx>
      <c:overlay val="0"/>
      <c:spPr>
        <a:noFill/>
        <a:ln>
          <a:noFill/>
        </a:ln>
        <a:effectLst/>
      </c:spPr>
    </c:title>
    <c:autoTitleDeleted val="0"/>
    <c:plotArea>
      <c:layout>
        <c:manualLayout>
          <c:layoutTarget val="inner"/>
          <c:xMode val="edge"/>
          <c:yMode val="edge"/>
          <c:x val="0.12108605462406527"/>
          <c:y val="0.14901498531469845"/>
          <c:w val="0.73197923430302936"/>
          <c:h val="0.73600796748814845"/>
        </c:manualLayout>
      </c:layout>
      <c:lineChart>
        <c:grouping val="standard"/>
        <c:varyColors val="0"/>
        <c:ser>
          <c:idx val="0"/>
          <c:order val="0"/>
          <c:tx>
            <c:strRef>
              <c:f>'Equity multiplier'!$J$2:$K$2</c:f>
              <c:strCache>
                <c:ptCount val="2"/>
                <c:pt idx="0">
                  <c:v>GOOD</c:v>
                </c:pt>
              </c:strCache>
            </c:strRef>
          </c:tx>
          <c:spPr>
            <a:ln w="28575" cap="rnd" cmpd="sng">
              <a:solidFill>
                <a:srgbClr val="FF0000"/>
              </a:solidFill>
              <a:round/>
            </a:ln>
            <a:effectLst/>
          </c:spPr>
          <c:marker>
            <c:symbol val="none"/>
          </c:marker>
          <c:cat>
            <c:strRef>
              <c:f>'Equity multiplier'!$L$2:$AJ$2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'Equity multiplier'!$L$11:$AJ$11</c:f>
              <c:numCache>
                <c:formatCode>0.000_);[Red]\(0.000\)</c:formatCode>
                <c:ptCount val="25"/>
                <c:pt idx="0" formatCode="General">
                  <c:v>0</c:v>
                </c:pt>
                <c:pt idx="1">
                  <c:v>-4.3500513825303358E-2</c:v>
                </c:pt>
                <c:pt idx="2">
                  <c:v>6.4861375735732751E-3</c:v>
                </c:pt>
                <c:pt idx="3">
                  <c:v>-3.6960906427484327E-2</c:v>
                </c:pt>
                <c:pt idx="4">
                  <c:v>-1.6122507564519453E-2</c:v>
                </c:pt>
                <c:pt idx="5">
                  <c:v>-1.0813239317336895E-2</c:v>
                </c:pt>
                <c:pt idx="6">
                  <c:v>-3.8155302604708549E-2</c:v>
                </c:pt>
                <c:pt idx="7">
                  <c:v>1.3757757799252465E-2</c:v>
                </c:pt>
                <c:pt idx="8">
                  <c:v>0.13354744489907144</c:v>
                </c:pt>
                <c:pt idx="9">
                  <c:v>0.16790189907034819</c:v>
                </c:pt>
                <c:pt idx="10">
                  <c:v>0.2383140256108314</c:v>
                </c:pt>
                <c:pt idx="11">
                  <c:v>0.21795570406383286</c:v>
                </c:pt>
                <c:pt idx="12">
                  <c:v>5.2989097752497286E-2</c:v>
                </c:pt>
                <c:pt idx="13">
                  <c:v>4.5449879326160667E-2</c:v>
                </c:pt>
                <c:pt idx="14">
                  <c:v>0.22387776184033706</c:v>
                </c:pt>
                <c:pt idx="15">
                  <c:v>0.16045179219004554</c:v>
                </c:pt>
                <c:pt idx="16">
                  <c:v>0.1657737055335049</c:v>
                </c:pt>
                <c:pt idx="17">
                  <c:v>0.19751452018362237</c:v>
                </c:pt>
                <c:pt idx="18">
                  <c:v>0.19529020726663671</c:v>
                </c:pt>
                <c:pt idx="19">
                  <c:v>0.23574882029142055</c:v>
                </c:pt>
                <c:pt idx="20">
                  <c:v>0.42069792520385957</c:v>
                </c:pt>
                <c:pt idx="21">
                  <c:v>0.46364948755227697</c:v>
                </c:pt>
                <c:pt idx="22">
                  <c:v>0.49072862258755851</c:v>
                </c:pt>
                <c:pt idx="23">
                  <c:v>0.44849488084275507</c:v>
                </c:pt>
                <c:pt idx="24">
                  <c:v>0.24023554956431106</c:v>
                </c:pt>
              </c:numCache>
            </c:numRef>
          </c:val>
          <c:smooth val="0"/>
          <c:extLst>
            <c:ext xmlns:c16="http://schemas.microsoft.com/office/drawing/2014/chart" uri="{C3380CC4-5D6E-409C-BE32-E72D297353CC}">
              <c16:uniqueId val="{00000000-4F13-A04D-B284-6896446D2618}"/>
            </c:ext>
          </c:extLst>
        </c:ser>
        <c:ser>
          <c:idx val="1"/>
          <c:order val="1"/>
          <c:tx>
            <c:strRef>
              <c:f>'Equity multiplier'!$J$15:$K$15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'Equity multiplier'!$L$2:$AJ$2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'Equity multiplier'!$L$24:$AJ$24</c:f>
              <c:numCache>
                <c:formatCode>0.000_);[Red]\(0.000\)</c:formatCode>
                <c:ptCount val="25"/>
                <c:pt idx="0" formatCode="General">
                  <c:v>0</c:v>
                </c:pt>
                <c:pt idx="1">
                  <c:v>-0.1128881769442437</c:v>
                </c:pt>
                <c:pt idx="2">
                  <c:v>-9.1302148436984185E-2</c:v>
                </c:pt>
                <c:pt idx="3">
                  <c:v>-0.10150864613440422</c:v>
                </c:pt>
                <c:pt idx="4">
                  <c:v>-0.11441914322119934</c:v>
                </c:pt>
                <c:pt idx="5">
                  <c:v>-0.15019602280489061</c:v>
                </c:pt>
                <c:pt idx="6">
                  <c:v>-0.21174483499768337</c:v>
                </c:pt>
                <c:pt idx="7">
                  <c:v>-0.20696600493942086</c:v>
                </c:pt>
                <c:pt idx="8">
                  <c:v>-0.14957774897268089</c:v>
                </c:pt>
                <c:pt idx="9">
                  <c:v>-7.2976596613377548E-2</c:v>
                </c:pt>
                <c:pt idx="10">
                  <c:v>-7.8281060022094062E-2</c:v>
                </c:pt>
                <c:pt idx="11">
                  <c:v>-5.1779888166120724E-2</c:v>
                </c:pt>
                <c:pt idx="12">
                  <c:v>-0.17162519172135007</c:v>
                </c:pt>
                <c:pt idx="13">
                  <c:v>-0.22078645622019949</c:v>
                </c:pt>
                <c:pt idx="14">
                  <c:v>-0.15517367045178626</c:v>
                </c:pt>
                <c:pt idx="15">
                  <c:v>-0.25310743636699601</c:v>
                </c:pt>
                <c:pt idx="16">
                  <c:v>-0.26894865839531784</c:v>
                </c:pt>
                <c:pt idx="17">
                  <c:v>-0.29784231028431873</c:v>
                </c:pt>
                <c:pt idx="18">
                  <c:v>-0.32198945856682459</c:v>
                </c:pt>
                <c:pt idx="19">
                  <c:v>-0.3374470235411417</c:v>
                </c:pt>
                <c:pt idx="20">
                  <c:v>-0.28126296662439915</c:v>
                </c:pt>
                <c:pt idx="21">
                  <c:v>-0.16710266149649425</c:v>
                </c:pt>
                <c:pt idx="22">
                  <c:v>-0.21522358083231885</c:v>
                </c:pt>
                <c:pt idx="23">
                  <c:v>-0.20679913740161701</c:v>
                </c:pt>
                <c:pt idx="24">
                  <c:v>-0.33164654855691905</c:v>
                </c:pt>
              </c:numCache>
            </c:numRef>
          </c:val>
          <c:smooth val="0"/>
          <c:extLst>
            <c:ext xmlns:c16="http://schemas.microsoft.com/office/drawing/2014/chart" uri="{C3380CC4-5D6E-409C-BE32-E72D297353CC}">
              <c16:uniqueId val="{00000001-4F13-A04D-B284-6896446D2618}"/>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Equity multiplier</a:t>
            </a:r>
            <a:r>
              <a:rPr lang="ko-KR" altLang="ko-KR" sz="3000">
                <a:effectLst/>
              </a:rPr>
              <a:t> </a:t>
            </a:r>
          </a:p>
        </c:rich>
      </c:tx>
      <c:overlay val="0"/>
      <c:spPr>
        <a:noFill/>
        <a:ln>
          <a:noFill/>
        </a:ln>
        <a:effectLst/>
      </c:spPr>
    </c:title>
    <c:autoTitleDeleted val="0"/>
    <c:plotArea>
      <c:layout>
        <c:manualLayout>
          <c:layoutTarget val="inner"/>
          <c:xMode val="edge"/>
          <c:yMode val="edge"/>
          <c:x val="9.6276277356052223E-2"/>
          <c:y val="0.12519559301066163"/>
          <c:w val="0.73197923430302936"/>
          <c:h val="0.73600796748814845"/>
        </c:manualLayout>
      </c:layout>
      <c:lineChart>
        <c:grouping val="standard"/>
        <c:varyColors val="0"/>
        <c:ser>
          <c:idx val="0"/>
          <c:order val="0"/>
          <c:tx>
            <c:strRef>
              <c:f>'Equity multiplier'!$J$2:$K$2</c:f>
              <c:strCache>
                <c:ptCount val="2"/>
                <c:pt idx="0">
                  <c:v>GOOD</c:v>
                </c:pt>
              </c:strCache>
            </c:strRef>
          </c:tx>
          <c:spPr>
            <a:ln w="28575" cap="rnd" cmpd="sng">
              <a:solidFill>
                <a:srgbClr val="FF0000"/>
              </a:solidFill>
              <a:round/>
            </a:ln>
            <a:effectLst/>
          </c:spPr>
          <c:marker>
            <c:symbol val="none"/>
          </c:marker>
          <c:cat>
            <c:strRef>
              <c:f>'Equity multiplier'!$L$2:$AJ$2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'Equity multiplier'!$L$11:$AJ$11</c:f>
              <c:numCache>
                <c:formatCode>0.000_);[Red]\(0.000\)</c:formatCode>
                <c:ptCount val="25"/>
                <c:pt idx="0" formatCode="General">
                  <c:v>0</c:v>
                </c:pt>
                <c:pt idx="1">
                  <c:v>-4.3500513825303358E-2</c:v>
                </c:pt>
                <c:pt idx="2">
                  <c:v>6.4861375735732751E-3</c:v>
                </c:pt>
                <c:pt idx="3">
                  <c:v>-3.6960906427484327E-2</c:v>
                </c:pt>
                <c:pt idx="4">
                  <c:v>-1.6122507564519453E-2</c:v>
                </c:pt>
                <c:pt idx="5">
                  <c:v>-1.0813239317336895E-2</c:v>
                </c:pt>
                <c:pt idx="6">
                  <c:v>-3.8155302604708549E-2</c:v>
                </c:pt>
                <c:pt idx="7">
                  <c:v>1.3757757799252465E-2</c:v>
                </c:pt>
                <c:pt idx="8">
                  <c:v>0.13354744489907144</c:v>
                </c:pt>
                <c:pt idx="9">
                  <c:v>0.16790189907034819</c:v>
                </c:pt>
                <c:pt idx="10">
                  <c:v>0.2383140256108314</c:v>
                </c:pt>
                <c:pt idx="11">
                  <c:v>0.21795570406383286</c:v>
                </c:pt>
                <c:pt idx="12">
                  <c:v>5.2989097752497286E-2</c:v>
                </c:pt>
                <c:pt idx="13">
                  <c:v>4.5449879326160667E-2</c:v>
                </c:pt>
                <c:pt idx="14">
                  <c:v>0.22387776184033706</c:v>
                </c:pt>
                <c:pt idx="15">
                  <c:v>0.16045179219004554</c:v>
                </c:pt>
                <c:pt idx="16">
                  <c:v>0.1657737055335049</c:v>
                </c:pt>
                <c:pt idx="17">
                  <c:v>0.19751452018362237</c:v>
                </c:pt>
                <c:pt idx="18">
                  <c:v>0.19529020726663671</c:v>
                </c:pt>
                <c:pt idx="19">
                  <c:v>0.23574882029142055</c:v>
                </c:pt>
                <c:pt idx="20">
                  <c:v>0.42069792520385957</c:v>
                </c:pt>
                <c:pt idx="21">
                  <c:v>0.46364948755227697</c:v>
                </c:pt>
                <c:pt idx="22">
                  <c:v>0.49072862258755851</c:v>
                </c:pt>
                <c:pt idx="23">
                  <c:v>0.44849488084275507</c:v>
                </c:pt>
                <c:pt idx="24">
                  <c:v>0.24023554956431106</c:v>
                </c:pt>
              </c:numCache>
            </c:numRef>
          </c:val>
          <c:smooth val="0"/>
          <c:extLst>
            <c:ext xmlns:c16="http://schemas.microsoft.com/office/drawing/2014/chart" uri="{C3380CC4-5D6E-409C-BE32-E72D297353CC}">
              <c16:uniqueId val="{00000000-426B-B840-A5BA-1BE65DB2DCA3}"/>
            </c:ext>
          </c:extLst>
        </c:ser>
        <c:ser>
          <c:idx val="1"/>
          <c:order val="1"/>
          <c:tx>
            <c:strRef>
              <c:f>'Equity multiplier'!$J$15:$K$15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'Equity multiplier'!$L$2:$AJ$2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'Equity multiplier'!$L$24:$AJ$24</c:f>
              <c:numCache>
                <c:formatCode>0.000_);[Red]\(0.000\)</c:formatCode>
                <c:ptCount val="25"/>
                <c:pt idx="0" formatCode="General">
                  <c:v>0</c:v>
                </c:pt>
                <c:pt idx="1">
                  <c:v>-0.1128881769442437</c:v>
                </c:pt>
                <c:pt idx="2">
                  <c:v>-9.1302148436984185E-2</c:v>
                </c:pt>
                <c:pt idx="3">
                  <c:v>-0.10150864613440422</c:v>
                </c:pt>
                <c:pt idx="4">
                  <c:v>-0.11441914322119934</c:v>
                </c:pt>
                <c:pt idx="5">
                  <c:v>-0.15019602280489061</c:v>
                </c:pt>
                <c:pt idx="6">
                  <c:v>-0.21174483499768337</c:v>
                </c:pt>
                <c:pt idx="7">
                  <c:v>-0.20696600493942086</c:v>
                </c:pt>
                <c:pt idx="8">
                  <c:v>-0.14957774897268089</c:v>
                </c:pt>
                <c:pt idx="9">
                  <c:v>-7.2976596613377548E-2</c:v>
                </c:pt>
                <c:pt idx="10">
                  <c:v>-7.8281060022094062E-2</c:v>
                </c:pt>
                <c:pt idx="11">
                  <c:v>-5.1779888166120724E-2</c:v>
                </c:pt>
                <c:pt idx="12">
                  <c:v>-0.17162519172135007</c:v>
                </c:pt>
                <c:pt idx="13">
                  <c:v>-0.22078645622019949</c:v>
                </c:pt>
                <c:pt idx="14">
                  <c:v>-0.15517367045178626</c:v>
                </c:pt>
                <c:pt idx="15">
                  <c:v>-0.25310743636699601</c:v>
                </c:pt>
                <c:pt idx="16">
                  <c:v>-0.26894865839531784</c:v>
                </c:pt>
                <c:pt idx="17">
                  <c:v>-0.29784231028431873</c:v>
                </c:pt>
                <c:pt idx="18">
                  <c:v>-0.32198945856682459</c:v>
                </c:pt>
                <c:pt idx="19">
                  <c:v>-0.3374470235411417</c:v>
                </c:pt>
                <c:pt idx="20">
                  <c:v>-0.28126296662439915</c:v>
                </c:pt>
                <c:pt idx="21">
                  <c:v>-0.16710266149649425</c:v>
                </c:pt>
                <c:pt idx="22">
                  <c:v>-0.21522358083231885</c:v>
                </c:pt>
                <c:pt idx="23">
                  <c:v>-0.20679913740161701</c:v>
                </c:pt>
                <c:pt idx="24">
                  <c:v>-0.33164654855691905</c:v>
                </c:pt>
              </c:numCache>
            </c:numRef>
          </c:val>
          <c:smooth val="0"/>
          <c:extLst>
            <c:ext xmlns:c16="http://schemas.microsoft.com/office/drawing/2014/chart" uri="{C3380CC4-5D6E-409C-BE32-E72D297353CC}">
              <c16:uniqueId val="{00000001-426B-B840-A5BA-1BE65DB2DCA3}"/>
            </c:ext>
          </c:extLst>
        </c:ser>
        <c:ser>
          <c:idx val="2"/>
          <c:order val="2"/>
          <c:tx>
            <c:strRef>
              <c:f>'Equity multiplier'!$J$68:$K$68</c:f>
              <c:strCache>
                <c:ptCount val="2"/>
                <c:pt idx="0">
                  <c:v>Industry average</c:v>
                </c:pt>
              </c:strCache>
            </c:strRef>
          </c:tx>
          <c:spPr>
            <a:ln w="28575">
              <a:solidFill>
                <a:schemeClr val="accent6"/>
              </a:solidFill>
            </a:ln>
          </c:spPr>
          <c:marker>
            <c:symbol val="none"/>
          </c:marker>
          <c:cat>
            <c:strRef>
              <c:f>'Equity multiplier'!$L$2:$AJ$2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'Equity multiplier'!$L$73:$AJ$73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426B-B840-A5BA-1BE65DB2DCA3}"/>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layout>
            <c:manualLayout>
              <c:xMode val="edge"/>
              <c:yMode val="edge"/>
              <c:x val="4.1121237694579517E-2"/>
              <c:y val="0.36363917599602241"/>
            </c:manualLayout>
          </c:layout>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Net profit margin percentage</a:t>
            </a:r>
            <a:r>
              <a:rPr lang="ko-KR" altLang="ko-KR" sz="3000">
                <a:effectLst/>
              </a:rPr>
              <a:t> </a:t>
            </a:r>
          </a:p>
        </c:rich>
      </c:tx>
      <c:overlay val="0"/>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'Net profit margin percentage'!$J$2:$K$2</c:f>
              <c:strCache>
                <c:ptCount val="2"/>
                <c:pt idx="0">
                  <c:v>GOOD</c:v>
                </c:pt>
              </c:strCache>
            </c:strRef>
          </c:tx>
          <c:spPr>
            <a:ln w="28575" cap="rnd" cmpd="sng">
              <a:solidFill>
                <a:srgbClr val="FF0000"/>
              </a:solidFill>
              <a:round/>
            </a:ln>
            <a:effectLst/>
          </c:spPr>
          <c:marker>
            <c:symbol val="none"/>
          </c:marker>
          <c:cat>
            <c:strRef>
              <c:f>'Net profit margin percentage'!$L$2:$AJ$2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'Net profit margin percentage'!$L$11:$AJ$11</c:f>
              <c:numCache>
                <c:formatCode>0.000_);[Red]\(0.000\)</c:formatCode>
                <c:ptCount val="25"/>
                <c:pt idx="0" formatCode="General">
                  <c:v>0</c:v>
                </c:pt>
                <c:pt idx="1">
                  <c:v>-1.4510998008483503E-2</c:v>
                </c:pt>
                <c:pt idx="2">
                  <c:v>1.8513143262381251E-2</c:v>
                </c:pt>
                <c:pt idx="3">
                  <c:v>2.0088072098724874E-2</c:v>
                </c:pt>
                <c:pt idx="4">
                  <c:v>2.6470310705235173E-2</c:v>
                </c:pt>
                <c:pt idx="5">
                  <c:v>3.9502518869678191E-2</c:v>
                </c:pt>
                <c:pt idx="6">
                  <c:v>-8.9787186483634984E-4</c:v>
                </c:pt>
                <c:pt idx="7">
                  <c:v>4.2781766851208547E-2</c:v>
                </c:pt>
                <c:pt idx="8">
                  <c:v>0.18943438139279392</c:v>
                </c:pt>
                <c:pt idx="9">
                  <c:v>0.21843368034133048</c:v>
                </c:pt>
                <c:pt idx="10">
                  <c:v>0.26447015131525742</c:v>
                </c:pt>
                <c:pt idx="11">
                  <c:v>0.25448630461030886</c:v>
                </c:pt>
                <c:pt idx="12">
                  <c:v>0.10345140762593527</c:v>
                </c:pt>
                <c:pt idx="13">
                  <c:v>0.1063786597091354</c:v>
                </c:pt>
                <c:pt idx="14">
                  <c:v>0.23822045641912268</c:v>
                </c:pt>
                <c:pt idx="15">
                  <c:v>0.11234912370475243</c:v>
                </c:pt>
                <c:pt idx="16">
                  <c:v>0.11183454937974051</c:v>
                </c:pt>
                <c:pt idx="17">
                  <c:v>0.15470858469641818</c:v>
                </c:pt>
                <c:pt idx="18">
                  <c:v>0.1253039159981145</c:v>
                </c:pt>
                <c:pt idx="19">
                  <c:v>0.12982688224952452</c:v>
                </c:pt>
                <c:pt idx="20">
                  <c:v>0.24395332346287354</c:v>
                </c:pt>
                <c:pt idx="21">
                  <c:v>0.30674023911965081</c:v>
                </c:pt>
                <c:pt idx="22">
                  <c:v>0.26567473051054513</c:v>
                </c:pt>
                <c:pt idx="23">
                  <c:v>0.24472100106159486</c:v>
                </c:pt>
                <c:pt idx="24">
                  <c:v>0.15172933820287818</c:v>
                </c:pt>
              </c:numCache>
            </c:numRef>
          </c:val>
          <c:smooth val="0"/>
          <c:extLst>
            <c:ext xmlns:c16="http://schemas.microsoft.com/office/drawing/2014/chart" uri="{C3380CC4-5D6E-409C-BE32-E72D297353CC}">
              <c16:uniqueId val="{00000000-A1D4-2C46-838E-5608028B5E40}"/>
            </c:ext>
          </c:extLst>
        </c:ser>
        <c:ser>
          <c:idx val="1"/>
          <c:order val="1"/>
          <c:tx>
            <c:strRef>
              <c:f>'Net profit margin percentage'!$J$15:$K$15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'Net profit margin percentage'!$L$2:$AJ$2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'Net profit margin percentage'!$L$24:$AJ$24</c:f>
              <c:numCache>
                <c:formatCode>0.000_);[Red]\(0.000\)</c:formatCode>
                <c:ptCount val="25"/>
                <c:pt idx="0" formatCode="General">
                  <c:v>0</c:v>
                </c:pt>
                <c:pt idx="1">
                  <c:v>-7.6695924544337157E-2</c:v>
                </c:pt>
                <c:pt idx="2">
                  <c:v>-8.3400819275740751E-2</c:v>
                </c:pt>
                <c:pt idx="3">
                  <c:v>-0.12141213497328673</c:v>
                </c:pt>
                <c:pt idx="4">
                  <c:v>-0.14660441890766129</c:v>
                </c:pt>
                <c:pt idx="5">
                  <c:v>-0.20328604787943613</c:v>
                </c:pt>
                <c:pt idx="6">
                  <c:v>-0.22171962723704675</c:v>
                </c:pt>
                <c:pt idx="7">
                  <c:v>-0.22995516425113799</c:v>
                </c:pt>
                <c:pt idx="8">
                  <c:v>-0.16362881222288744</c:v>
                </c:pt>
                <c:pt idx="9">
                  <c:v>-8.0209286751964814E-2</c:v>
                </c:pt>
                <c:pt idx="10">
                  <c:v>-2.2827881690748023E-2</c:v>
                </c:pt>
                <c:pt idx="11">
                  <c:v>6.0677007920389853E-2</c:v>
                </c:pt>
                <c:pt idx="12">
                  <c:v>-9.0388029182158713E-2</c:v>
                </c:pt>
                <c:pt idx="13">
                  <c:v>-0.19093197188935884</c:v>
                </c:pt>
                <c:pt idx="14">
                  <c:v>-9.4964517432777174E-2</c:v>
                </c:pt>
                <c:pt idx="15">
                  <c:v>-0.24698181270480754</c:v>
                </c:pt>
                <c:pt idx="16">
                  <c:v>-0.24854139586980706</c:v>
                </c:pt>
                <c:pt idx="17">
                  <c:v>-0.28775631004073854</c:v>
                </c:pt>
                <c:pt idx="18">
                  <c:v>-0.28889953018505005</c:v>
                </c:pt>
                <c:pt idx="19">
                  <c:v>-0.36516961020619582</c:v>
                </c:pt>
                <c:pt idx="20">
                  <c:v>-0.31305452379124621</c:v>
                </c:pt>
                <c:pt idx="21">
                  <c:v>-0.22682142917716078</c:v>
                </c:pt>
                <c:pt idx="22">
                  <c:v>-0.22311221512817395</c:v>
                </c:pt>
                <c:pt idx="23">
                  <c:v>-0.2063622331056317</c:v>
                </c:pt>
                <c:pt idx="24">
                  <c:v>-0.33200332755680922</c:v>
                </c:pt>
              </c:numCache>
            </c:numRef>
          </c:val>
          <c:smooth val="0"/>
          <c:extLst>
            <c:ext xmlns:c16="http://schemas.microsoft.com/office/drawing/2014/chart" uri="{C3380CC4-5D6E-409C-BE32-E72D297353CC}">
              <c16:uniqueId val="{00000001-A1D4-2C46-838E-5608028B5E40}"/>
            </c:ext>
          </c:extLst>
        </c:ser>
        <c:ser>
          <c:idx val="2"/>
          <c:order val="2"/>
          <c:tx>
            <c:strRef>
              <c:f>'Net profit margin percentage'!$J$26:$K$26</c:f>
              <c:strCache>
                <c:ptCount val="2"/>
                <c:pt idx="0">
                  <c:v>S&amp;P 500</c:v>
                </c:pt>
              </c:strCache>
            </c:strRef>
          </c:tx>
          <c:spPr>
            <a:ln w="28575">
              <a:solidFill>
                <a:schemeClr val="accent4"/>
              </a:solidFill>
            </a:ln>
          </c:spPr>
          <c:marker>
            <c:symbol val="none"/>
          </c:marker>
          <c:cat>
            <c:strRef>
              <c:f>'Net profit margin percentage'!$L$2:$AJ$2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'Net profit margin percentage'!$L$31:$AJ$31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A1D4-2C46-838E-5608028B5E40}"/>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Net profit margin percentage</a:t>
            </a:r>
            <a:r>
              <a:rPr lang="ko-KR" altLang="ko-KR" sz="3000">
                <a:effectLst/>
              </a:rPr>
              <a:t> </a:t>
            </a:r>
          </a:p>
        </c:rich>
      </c:tx>
      <c:overlay val="0"/>
      <c:spPr>
        <a:noFill/>
        <a:ln>
          <a:noFill/>
        </a:ln>
        <a:effectLst/>
      </c:spPr>
    </c:title>
    <c:autoTitleDeleted val="0"/>
    <c:plotArea>
      <c:layout>
        <c:manualLayout>
          <c:layoutTarget val="inner"/>
          <c:xMode val="edge"/>
          <c:yMode val="edge"/>
          <c:x val="0.12071961550381774"/>
          <c:y val="0.1425203586997229"/>
          <c:w val="0.73197923430302936"/>
          <c:h val="0.73600796748814845"/>
        </c:manualLayout>
      </c:layout>
      <c:lineChart>
        <c:grouping val="standard"/>
        <c:varyColors val="0"/>
        <c:ser>
          <c:idx val="0"/>
          <c:order val="0"/>
          <c:tx>
            <c:strRef>
              <c:f>'Net profit margin percentage'!$J$2:$K$2</c:f>
              <c:strCache>
                <c:ptCount val="2"/>
                <c:pt idx="0">
                  <c:v>GOOD</c:v>
                </c:pt>
              </c:strCache>
            </c:strRef>
          </c:tx>
          <c:spPr>
            <a:ln w="28575" cap="rnd" cmpd="sng">
              <a:solidFill>
                <a:srgbClr val="FF0000"/>
              </a:solidFill>
              <a:round/>
            </a:ln>
            <a:effectLst/>
          </c:spPr>
          <c:marker>
            <c:symbol val="none"/>
          </c:marker>
          <c:cat>
            <c:strRef>
              <c:f>'Net profit margin percentage'!$L$2:$AJ$2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'Net profit margin percentage'!$L$11:$AJ$11</c:f>
              <c:numCache>
                <c:formatCode>0.000_);[Red]\(0.000\)</c:formatCode>
                <c:ptCount val="25"/>
                <c:pt idx="0" formatCode="General">
                  <c:v>0</c:v>
                </c:pt>
                <c:pt idx="1">
                  <c:v>-1.4510998008483503E-2</c:v>
                </c:pt>
                <c:pt idx="2">
                  <c:v>1.8513143262381251E-2</c:v>
                </c:pt>
                <c:pt idx="3">
                  <c:v>2.0088072098724874E-2</c:v>
                </c:pt>
                <c:pt idx="4">
                  <c:v>2.6470310705235173E-2</c:v>
                </c:pt>
                <c:pt idx="5">
                  <c:v>3.9502518869678191E-2</c:v>
                </c:pt>
                <c:pt idx="6">
                  <c:v>-8.9787186483634984E-4</c:v>
                </c:pt>
                <c:pt idx="7">
                  <c:v>4.2781766851208547E-2</c:v>
                </c:pt>
                <c:pt idx="8">
                  <c:v>0.18943438139279392</c:v>
                </c:pt>
                <c:pt idx="9">
                  <c:v>0.21843368034133048</c:v>
                </c:pt>
                <c:pt idx="10">
                  <c:v>0.26447015131525742</c:v>
                </c:pt>
                <c:pt idx="11">
                  <c:v>0.25448630461030886</c:v>
                </c:pt>
                <c:pt idx="12">
                  <c:v>0.10345140762593527</c:v>
                </c:pt>
                <c:pt idx="13">
                  <c:v>0.1063786597091354</c:v>
                </c:pt>
                <c:pt idx="14">
                  <c:v>0.23822045641912268</c:v>
                </c:pt>
                <c:pt idx="15">
                  <c:v>0.11234912370475243</c:v>
                </c:pt>
                <c:pt idx="16">
                  <c:v>0.11183454937974051</c:v>
                </c:pt>
                <c:pt idx="17">
                  <c:v>0.15470858469641818</c:v>
                </c:pt>
                <c:pt idx="18">
                  <c:v>0.1253039159981145</c:v>
                </c:pt>
                <c:pt idx="19">
                  <c:v>0.12982688224952452</c:v>
                </c:pt>
                <c:pt idx="20">
                  <c:v>0.24395332346287354</c:v>
                </c:pt>
                <c:pt idx="21">
                  <c:v>0.30674023911965081</c:v>
                </c:pt>
                <c:pt idx="22">
                  <c:v>0.26567473051054513</c:v>
                </c:pt>
                <c:pt idx="23">
                  <c:v>0.24472100106159486</c:v>
                </c:pt>
                <c:pt idx="24">
                  <c:v>0.15172933820287818</c:v>
                </c:pt>
              </c:numCache>
            </c:numRef>
          </c:val>
          <c:smooth val="0"/>
          <c:extLst>
            <c:ext xmlns:c16="http://schemas.microsoft.com/office/drawing/2014/chart" uri="{C3380CC4-5D6E-409C-BE32-E72D297353CC}">
              <c16:uniqueId val="{00000000-A224-C64B-98B6-9D60AA792688}"/>
            </c:ext>
          </c:extLst>
        </c:ser>
        <c:ser>
          <c:idx val="1"/>
          <c:order val="1"/>
          <c:tx>
            <c:strRef>
              <c:f>'Net profit margin percentage'!$J$15:$K$15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'Net profit margin percentage'!$L$2:$AJ$2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'Net profit margin percentage'!$L$24:$AJ$24</c:f>
              <c:numCache>
                <c:formatCode>0.000_);[Red]\(0.000\)</c:formatCode>
                <c:ptCount val="25"/>
                <c:pt idx="0" formatCode="General">
                  <c:v>0</c:v>
                </c:pt>
                <c:pt idx="1">
                  <c:v>-7.6695924544337157E-2</c:v>
                </c:pt>
                <c:pt idx="2">
                  <c:v>-8.3400819275740751E-2</c:v>
                </c:pt>
                <c:pt idx="3">
                  <c:v>-0.12141213497328673</c:v>
                </c:pt>
                <c:pt idx="4">
                  <c:v>-0.14660441890766129</c:v>
                </c:pt>
                <c:pt idx="5">
                  <c:v>-0.20328604787943613</c:v>
                </c:pt>
                <c:pt idx="6">
                  <c:v>-0.22171962723704675</c:v>
                </c:pt>
                <c:pt idx="7">
                  <c:v>-0.22995516425113799</c:v>
                </c:pt>
                <c:pt idx="8">
                  <c:v>-0.16362881222288744</c:v>
                </c:pt>
                <c:pt idx="9">
                  <c:v>-8.0209286751964814E-2</c:v>
                </c:pt>
                <c:pt idx="10">
                  <c:v>-2.2827881690748023E-2</c:v>
                </c:pt>
                <c:pt idx="11">
                  <c:v>6.0677007920389853E-2</c:v>
                </c:pt>
                <c:pt idx="12">
                  <c:v>-9.0388029182158713E-2</c:v>
                </c:pt>
                <c:pt idx="13">
                  <c:v>-0.19093197188935884</c:v>
                </c:pt>
                <c:pt idx="14">
                  <c:v>-9.4964517432777174E-2</c:v>
                </c:pt>
                <c:pt idx="15">
                  <c:v>-0.24698181270480754</c:v>
                </c:pt>
                <c:pt idx="16">
                  <c:v>-0.24854139586980706</c:v>
                </c:pt>
                <c:pt idx="17">
                  <c:v>-0.28775631004073854</c:v>
                </c:pt>
                <c:pt idx="18">
                  <c:v>-0.28889953018505005</c:v>
                </c:pt>
                <c:pt idx="19">
                  <c:v>-0.36516961020619582</c:v>
                </c:pt>
                <c:pt idx="20">
                  <c:v>-0.31305452379124621</c:v>
                </c:pt>
                <c:pt idx="21">
                  <c:v>-0.22682142917716078</c:v>
                </c:pt>
                <c:pt idx="22">
                  <c:v>-0.22311221512817395</c:v>
                </c:pt>
                <c:pt idx="23">
                  <c:v>-0.2063622331056317</c:v>
                </c:pt>
                <c:pt idx="24">
                  <c:v>-0.33200332755680922</c:v>
                </c:pt>
              </c:numCache>
            </c:numRef>
          </c:val>
          <c:smooth val="0"/>
          <c:extLst>
            <c:ext xmlns:c16="http://schemas.microsoft.com/office/drawing/2014/chart" uri="{C3380CC4-5D6E-409C-BE32-E72D297353CC}">
              <c16:uniqueId val="{00000001-A224-C64B-98B6-9D60AA792688}"/>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Net profit margin percentage</a:t>
            </a:r>
            <a:r>
              <a:rPr lang="ko-KR" altLang="ko-KR" sz="3000">
                <a:effectLst/>
              </a:rPr>
              <a:t> </a:t>
            </a:r>
          </a:p>
        </c:rich>
      </c:tx>
      <c:overlay val="0"/>
      <c:spPr>
        <a:noFill/>
        <a:ln>
          <a:noFill/>
        </a:ln>
        <a:effectLst/>
      </c:spPr>
    </c:title>
    <c:autoTitleDeleted val="0"/>
    <c:plotArea>
      <c:layout>
        <c:manualLayout>
          <c:layoutTarget val="inner"/>
          <c:xMode val="edge"/>
          <c:yMode val="edge"/>
          <c:x val="6.6998475400530277E-2"/>
          <c:y val="0.13387821655005858"/>
          <c:w val="0.73197923430302936"/>
          <c:h val="0.73600796748814845"/>
        </c:manualLayout>
      </c:layout>
      <c:lineChart>
        <c:grouping val="standard"/>
        <c:varyColors val="0"/>
        <c:ser>
          <c:idx val="0"/>
          <c:order val="0"/>
          <c:tx>
            <c:strRef>
              <c:f>'Net profit margin percentage'!$J$2:$K$2</c:f>
              <c:strCache>
                <c:ptCount val="2"/>
                <c:pt idx="0">
                  <c:v>GOOD</c:v>
                </c:pt>
              </c:strCache>
            </c:strRef>
          </c:tx>
          <c:spPr>
            <a:ln w="28575" cap="rnd" cmpd="sng">
              <a:solidFill>
                <a:srgbClr val="FF0000"/>
              </a:solidFill>
              <a:round/>
            </a:ln>
            <a:effectLst/>
          </c:spPr>
          <c:marker>
            <c:symbol val="none"/>
          </c:marker>
          <c:cat>
            <c:strRef>
              <c:f>'Net profit margin percentage'!$L$2:$AJ$2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'Net profit margin percentage'!$L$11:$AJ$11</c:f>
              <c:numCache>
                <c:formatCode>0.000_);[Red]\(0.000\)</c:formatCode>
                <c:ptCount val="25"/>
                <c:pt idx="0" formatCode="General">
                  <c:v>0</c:v>
                </c:pt>
                <c:pt idx="1">
                  <c:v>-1.4510998008483503E-2</c:v>
                </c:pt>
                <c:pt idx="2">
                  <c:v>1.8513143262381251E-2</c:v>
                </c:pt>
                <c:pt idx="3">
                  <c:v>2.0088072098724874E-2</c:v>
                </c:pt>
                <c:pt idx="4">
                  <c:v>2.6470310705235173E-2</c:v>
                </c:pt>
                <c:pt idx="5">
                  <c:v>3.9502518869678191E-2</c:v>
                </c:pt>
                <c:pt idx="6">
                  <c:v>-8.9787186483634984E-4</c:v>
                </c:pt>
                <c:pt idx="7">
                  <c:v>4.2781766851208547E-2</c:v>
                </c:pt>
                <c:pt idx="8">
                  <c:v>0.18943438139279392</c:v>
                </c:pt>
                <c:pt idx="9">
                  <c:v>0.21843368034133048</c:v>
                </c:pt>
                <c:pt idx="10">
                  <c:v>0.26447015131525742</c:v>
                </c:pt>
                <c:pt idx="11">
                  <c:v>0.25448630461030886</c:v>
                </c:pt>
                <c:pt idx="12">
                  <c:v>0.10345140762593527</c:v>
                </c:pt>
                <c:pt idx="13">
                  <c:v>0.1063786597091354</c:v>
                </c:pt>
                <c:pt idx="14">
                  <c:v>0.23822045641912268</c:v>
                </c:pt>
                <c:pt idx="15">
                  <c:v>0.11234912370475243</c:v>
                </c:pt>
                <c:pt idx="16">
                  <c:v>0.11183454937974051</c:v>
                </c:pt>
                <c:pt idx="17">
                  <c:v>0.15470858469641818</c:v>
                </c:pt>
                <c:pt idx="18">
                  <c:v>0.1253039159981145</c:v>
                </c:pt>
                <c:pt idx="19">
                  <c:v>0.12982688224952452</c:v>
                </c:pt>
                <c:pt idx="20">
                  <c:v>0.24395332346287354</c:v>
                </c:pt>
                <c:pt idx="21">
                  <c:v>0.30674023911965081</c:v>
                </c:pt>
                <c:pt idx="22">
                  <c:v>0.26567473051054513</c:v>
                </c:pt>
                <c:pt idx="23">
                  <c:v>0.24472100106159486</c:v>
                </c:pt>
                <c:pt idx="24">
                  <c:v>0.15172933820287818</c:v>
                </c:pt>
              </c:numCache>
            </c:numRef>
          </c:val>
          <c:smooth val="0"/>
          <c:extLst>
            <c:ext xmlns:c16="http://schemas.microsoft.com/office/drawing/2014/chart" uri="{C3380CC4-5D6E-409C-BE32-E72D297353CC}">
              <c16:uniqueId val="{00000000-B288-1345-B0D6-9382CF2AEE57}"/>
            </c:ext>
          </c:extLst>
        </c:ser>
        <c:ser>
          <c:idx val="1"/>
          <c:order val="1"/>
          <c:tx>
            <c:strRef>
              <c:f>'Net profit margin percentage'!$J$15:$K$15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'Net profit margin percentage'!$L$2:$AJ$2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'Net profit margin percentage'!$L$24:$AJ$24</c:f>
              <c:numCache>
                <c:formatCode>0.000_);[Red]\(0.000\)</c:formatCode>
                <c:ptCount val="25"/>
                <c:pt idx="0" formatCode="General">
                  <c:v>0</c:v>
                </c:pt>
                <c:pt idx="1">
                  <c:v>-7.6695924544337157E-2</c:v>
                </c:pt>
                <c:pt idx="2">
                  <c:v>-8.3400819275740751E-2</c:v>
                </c:pt>
                <c:pt idx="3">
                  <c:v>-0.12141213497328673</c:v>
                </c:pt>
                <c:pt idx="4">
                  <c:v>-0.14660441890766129</c:v>
                </c:pt>
                <c:pt idx="5">
                  <c:v>-0.20328604787943613</c:v>
                </c:pt>
                <c:pt idx="6">
                  <c:v>-0.22171962723704675</c:v>
                </c:pt>
                <c:pt idx="7">
                  <c:v>-0.22995516425113799</c:v>
                </c:pt>
                <c:pt idx="8">
                  <c:v>-0.16362881222288744</c:v>
                </c:pt>
                <c:pt idx="9">
                  <c:v>-8.0209286751964814E-2</c:v>
                </c:pt>
                <c:pt idx="10">
                  <c:v>-2.2827881690748023E-2</c:v>
                </c:pt>
                <c:pt idx="11">
                  <c:v>6.0677007920389853E-2</c:v>
                </c:pt>
                <c:pt idx="12">
                  <c:v>-9.0388029182158713E-2</c:v>
                </c:pt>
                <c:pt idx="13">
                  <c:v>-0.19093197188935884</c:v>
                </c:pt>
                <c:pt idx="14">
                  <c:v>-9.4964517432777174E-2</c:v>
                </c:pt>
                <c:pt idx="15">
                  <c:v>-0.24698181270480754</c:v>
                </c:pt>
                <c:pt idx="16">
                  <c:v>-0.24854139586980706</c:v>
                </c:pt>
                <c:pt idx="17">
                  <c:v>-0.28775631004073854</c:v>
                </c:pt>
                <c:pt idx="18">
                  <c:v>-0.28889953018505005</c:v>
                </c:pt>
                <c:pt idx="19">
                  <c:v>-0.36516961020619582</c:v>
                </c:pt>
                <c:pt idx="20">
                  <c:v>-0.31305452379124621</c:v>
                </c:pt>
                <c:pt idx="21">
                  <c:v>-0.22682142917716078</c:v>
                </c:pt>
                <c:pt idx="22">
                  <c:v>-0.22311221512817395</c:v>
                </c:pt>
                <c:pt idx="23">
                  <c:v>-0.2063622331056317</c:v>
                </c:pt>
                <c:pt idx="24">
                  <c:v>-0.33200332755680922</c:v>
                </c:pt>
              </c:numCache>
            </c:numRef>
          </c:val>
          <c:smooth val="0"/>
          <c:extLst>
            <c:ext xmlns:c16="http://schemas.microsoft.com/office/drawing/2014/chart" uri="{C3380CC4-5D6E-409C-BE32-E72D297353CC}">
              <c16:uniqueId val="{00000001-B288-1345-B0D6-9382CF2AEE57}"/>
            </c:ext>
          </c:extLst>
        </c:ser>
        <c:ser>
          <c:idx val="2"/>
          <c:order val="2"/>
          <c:tx>
            <c:strRef>
              <c:f>'Net profit margin percentage'!$J$68:$K$68</c:f>
              <c:strCache>
                <c:ptCount val="2"/>
                <c:pt idx="0">
                  <c:v>Industry average</c:v>
                </c:pt>
              </c:strCache>
            </c:strRef>
          </c:tx>
          <c:spPr>
            <a:ln w="28575">
              <a:solidFill>
                <a:schemeClr val="accent6"/>
              </a:solidFill>
            </a:ln>
          </c:spPr>
          <c:marker>
            <c:symbol val="none"/>
          </c:marker>
          <c:cat>
            <c:strRef>
              <c:f>'Net profit margin percentage'!$L$2:$AJ$2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'Net profit margin percentage'!$L$73:$AJ$73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B288-1345-B0D6-9382CF2AEE57}"/>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0102617876788007"/>
          <c:y val="0.1120487044922955"/>
          <c:w val="0.19612095350477046"/>
          <c:h val="0.16027155284025504"/>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Return on total assets (ROA)</a:t>
            </a:r>
            <a:r>
              <a:rPr lang="ko-KR" altLang="ko-KR" sz="3000">
                <a:effectLst/>
              </a:rPr>
              <a:t> </a:t>
            </a:r>
          </a:p>
        </c:rich>
      </c:tx>
      <c:overlay val="0"/>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'Return on total assets (ROA)	'!$J$2:$K$2</c:f>
              <c:strCache>
                <c:ptCount val="2"/>
                <c:pt idx="0">
                  <c:v>GOOD</c:v>
                </c:pt>
              </c:strCache>
            </c:strRef>
          </c:tx>
          <c:spPr>
            <a:ln w="28575" cap="rnd" cmpd="sng">
              <a:solidFill>
                <a:srgbClr val="FF0000"/>
              </a:solidFill>
              <a:round/>
            </a:ln>
            <a:effectLst/>
          </c:spPr>
          <c:marker>
            <c:symbol val="none"/>
          </c:marker>
          <c:cat>
            <c:strRef>
              <c:f>'Return on total assets (ROA)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total assets (ROA)	'!$L$11:$AJ$11</c:f>
              <c:numCache>
                <c:formatCode>0.000_);[Red]\(0.000\)</c:formatCode>
                <c:ptCount val="25"/>
                <c:pt idx="0" formatCode="General">
                  <c:v>0</c:v>
                </c:pt>
                <c:pt idx="1">
                  <c:v>-4.5524542588932376E-3</c:v>
                </c:pt>
                <c:pt idx="2">
                  <c:v>4.6827414910896537E-2</c:v>
                </c:pt>
                <c:pt idx="3">
                  <c:v>3.2820024423081157E-2</c:v>
                </c:pt>
                <c:pt idx="4">
                  <c:v>3.4169235898042355E-2</c:v>
                </c:pt>
                <c:pt idx="5">
                  <c:v>3.6752734060021955E-2</c:v>
                </c:pt>
                <c:pt idx="6">
                  <c:v>6.5123694861507486E-4</c:v>
                </c:pt>
                <c:pt idx="7">
                  <c:v>5.1795452224365157E-2</c:v>
                </c:pt>
                <c:pt idx="8">
                  <c:v>0.19155024285856584</c:v>
                </c:pt>
                <c:pt idx="9">
                  <c:v>0.21668171660948266</c:v>
                </c:pt>
                <c:pt idx="10">
                  <c:v>0.26753334378918403</c:v>
                </c:pt>
                <c:pt idx="11">
                  <c:v>0.25910212311582137</c:v>
                </c:pt>
                <c:pt idx="12">
                  <c:v>0.12946163638923103</c:v>
                </c:pt>
                <c:pt idx="13">
                  <c:v>0.11821320231034972</c:v>
                </c:pt>
                <c:pt idx="14">
                  <c:v>0.23407265366473948</c:v>
                </c:pt>
                <c:pt idx="15">
                  <c:v>0.10075752411269555</c:v>
                </c:pt>
                <c:pt idx="16">
                  <c:v>0.10257201056020039</c:v>
                </c:pt>
                <c:pt idx="17">
                  <c:v>0.13540114994678457</c:v>
                </c:pt>
                <c:pt idx="18">
                  <c:v>0.10572180669720832</c:v>
                </c:pt>
                <c:pt idx="19">
                  <c:v>0.12915435554523388</c:v>
                </c:pt>
                <c:pt idx="20">
                  <c:v>0.24035415072564406</c:v>
                </c:pt>
                <c:pt idx="21">
                  <c:v>0.3376551560612055</c:v>
                </c:pt>
                <c:pt idx="22">
                  <c:v>0.31929702995174242</c:v>
                </c:pt>
                <c:pt idx="23">
                  <c:v>0.27613858322885526</c:v>
                </c:pt>
                <c:pt idx="24">
                  <c:v>0.10762984097146132</c:v>
                </c:pt>
              </c:numCache>
            </c:numRef>
          </c:val>
          <c:smooth val="0"/>
          <c:extLst>
            <c:ext xmlns:c16="http://schemas.microsoft.com/office/drawing/2014/chart" uri="{C3380CC4-5D6E-409C-BE32-E72D297353CC}">
              <c16:uniqueId val="{00000000-74A1-504D-8D93-BAAFE0E93AC4}"/>
            </c:ext>
          </c:extLst>
        </c:ser>
        <c:ser>
          <c:idx val="1"/>
          <c:order val="1"/>
          <c:tx>
            <c:strRef>
              <c:f>'Return on total assets (ROA)	'!$J$15:$K$15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'Return on total assets (ROA)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total assets (ROA)	'!$L$24:$AJ$24</c:f>
              <c:numCache>
                <c:formatCode>0.000_);[Red]\(0.000\)</c:formatCode>
                <c:ptCount val="25"/>
                <c:pt idx="0" formatCode="General">
                  <c:v>0</c:v>
                </c:pt>
                <c:pt idx="1">
                  <c:v>-0.11712326531664144</c:v>
                </c:pt>
                <c:pt idx="2">
                  <c:v>-0.10078211203792538</c:v>
                </c:pt>
                <c:pt idx="3">
                  <c:v>-0.10308156239301627</c:v>
                </c:pt>
                <c:pt idx="4">
                  <c:v>-0.15595670986909904</c:v>
                </c:pt>
                <c:pt idx="5">
                  <c:v>-0.19125511977934376</c:v>
                </c:pt>
                <c:pt idx="6">
                  <c:v>-0.17464987244794167</c:v>
                </c:pt>
                <c:pt idx="7">
                  <c:v>-0.18193948356459494</c:v>
                </c:pt>
                <c:pt idx="8">
                  <c:v>-0.1169369613041597</c:v>
                </c:pt>
                <c:pt idx="9">
                  <c:v>-1.0664722838257423E-2</c:v>
                </c:pt>
                <c:pt idx="10">
                  <c:v>5.5284738535133784E-2</c:v>
                </c:pt>
                <c:pt idx="11">
                  <c:v>0.10691984599430522</c:v>
                </c:pt>
                <c:pt idx="12">
                  <c:v>-9.7461329632634541E-2</c:v>
                </c:pt>
                <c:pt idx="13">
                  <c:v>-0.20066179683116991</c:v>
                </c:pt>
                <c:pt idx="14">
                  <c:v>-0.10626601310427403</c:v>
                </c:pt>
                <c:pt idx="15">
                  <c:v>-0.29231480293892514</c:v>
                </c:pt>
                <c:pt idx="16">
                  <c:v>-0.25802246825624575</c:v>
                </c:pt>
                <c:pt idx="17">
                  <c:v>-0.26306187197048581</c:v>
                </c:pt>
                <c:pt idx="18">
                  <c:v>-0.27876510593324905</c:v>
                </c:pt>
                <c:pt idx="19">
                  <c:v>-0.33923875959663047</c:v>
                </c:pt>
                <c:pt idx="20">
                  <c:v>-0.26753785405807018</c:v>
                </c:pt>
                <c:pt idx="21">
                  <c:v>-0.178984476576864</c:v>
                </c:pt>
                <c:pt idx="22">
                  <c:v>-0.20930913704073792</c:v>
                </c:pt>
                <c:pt idx="23">
                  <c:v>-0.21811753091550809</c:v>
                </c:pt>
                <c:pt idx="24">
                  <c:v>-0.35394223737065095</c:v>
                </c:pt>
              </c:numCache>
            </c:numRef>
          </c:val>
          <c:smooth val="0"/>
          <c:extLst>
            <c:ext xmlns:c16="http://schemas.microsoft.com/office/drawing/2014/chart" uri="{C3380CC4-5D6E-409C-BE32-E72D297353CC}">
              <c16:uniqueId val="{00000001-74A1-504D-8D93-BAAFE0E93AC4}"/>
            </c:ext>
          </c:extLst>
        </c:ser>
        <c:ser>
          <c:idx val="2"/>
          <c:order val="2"/>
          <c:tx>
            <c:strRef>
              <c:f>'Return on total assets (ROA)	'!$J$26:$K$26</c:f>
              <c:strCache>
                <c:ptCount val="2"/>
                <c:pt idx="0">
                  <c:v>S&amp;P 500</c:v>
                </c:pt>
              </c:strCache>
            </c:strRef>
          </c:tx>
          <c:spPr>
            <a:ln w="28575">
              <a:solidFill>
                <a:schemeClr val="accent4"/>
              </a:solidFill>
            </a:ln>
          </c:spPr>
          <c:marker>
            <c:symbol val="none"/>
          </c:marker>
          <c:cat>
            <c:strRef>
              <c:f>'Return on total assets (ROA)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total assets (ROA)	'!$L$31:$AJ$31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74A1-504D-8D93-BAAFE0E93AC4}"/>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Return on total assets (ROA)</a:t>
            </a:r>
            <a:r>
              <a:rPr lang="ko-KR" altLang="ko-KR" sz="3000">
                <a:effectLst/>
              </a:rPr>
              <a:t> </a:t>
            </a:r>
          </a:p>
        </c:rich>
      </c:tx>
      <c:overlay val="0"/>
      <c:spPr>
        <a:noFill/>
        <a:ln>
          <a:noFill/>
        </a:ln>
        <a:effectLst/>
      </c:spPr>
    </c:title>
    <c:autoTitleDeleted val="0"/>
    <c:plotArea>
      <c:layout>
        <c:manualLayout>
          <c:layoutTarget val="inner"/>
          <c:xMode val="edge"/>
          <c:yMode val="edge"/>
          <c:x val="0.14093115761211281"/>
          <c:y val="0.140057677205845"/>
          <c:w val="0.73197923430302936"/>
          <c:h val="0.73600796748814845"/>
        </c:manualLayout>
      </c:layout>
      <c:lineChart>
        <c:grouping val="standard"/>
        <c:varyColors val="0"/>
        <c:ser>
          <c:idx val="0"/>
          <c:order val="0"/>
          <c:tx>
            <c:strRef>
              <c:f>'Return on total assets (ROA)	'!$J$2:$K$2</c:f>
              <c:strCache>
                <c:ptCount val="2"/>
                <c:pt idx="0">
                  <c:v>GOOD</c:v>
                </c:pt>
              </c:strCache>
            </c:strRef>
          </c:tx>
          <c:spPr>
            <a:ln w="28575" cap="rnd" cmpd="sng">
              <a:solidFill>
                <a:srgbClr val="FF0000"/>
              </a:solidFill>
              <a:round/>
            </a:ln>
            <a:effectLst/>
          </c:spPr>
          <c:marker>
            <c:symbol val="none"/>
          </c:marker>
          <c:cat>
            <c:strRef>
              <c:f>'Return on total assets (ROA)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total assets (ROA)	'!$L$11:$AJ$11</c:f>
              <c:numCache>
                <c:formatCode>0.000_);[Red]\(0.000\)</c:formatCode>
                <c:ptCount val="25"/>
                <c:pt idx="0" formatCode="General">
                  <c:v>0</c:v>
                </c:pt>
                <c:pt idx="1">
                  <c:v>-4.5524542588932376E-3</c:v>
                </c:pt>
                <c:pt idx="2">
                  <c:v>4.6827414910896537E-2</c:v>
                </c:pt>
                <c:pt idx="3">
                  <c:v>3.2820024423081157E-2</c:v>
                </c:pt>
                <c:pt idx="4">
                  <c:v>3.4169235898042355E-2</c:v>
                </c:pt>
                <c:pt idx="5">
                  <c:v>3.6752734060021955E-2</c:v>
                </c:pt>
                <c:pt idx="6">
                  <c:v>6.5123694861507486E-4</c:v>
                </c:pt>
                <c:pt idx="7">
                  <c:v>5.1795452224365157E-2</c:v>
                </c:pt>
                <c:pt idx="8">
                  <c:v>0.19155024285856584</c:v>
                </c:pt>
                <c:pt idx="9">
                  <c:v>0.21668171660948266</c:v>
                </c:pt>
                <c:pt idx="10">
                  <c:v>0.26753334378918403</c:v>
                </c:pt>
                <c:pt idx="11">
                  <c:v>0.25910212311582137</c:v>
                </c:pt>
                <c:pt idx="12">
                  <c:v>0.12946163638923103</c:v>
                </c:pt>
                <c:pt idx="13">
                  <c:v>0.11821320231034972</c:v>
                </c:pt>
                <c:pt idx="14">
                  <c:v>0.23407265366473948</c:v>
                </c:pt>
                <c:pt idx="15">
                  <c:v>0.10075752411269555</c:v>
                </c:pt>
                <c:pt idx="16">
                  <c:v>0.10257201056020039</c:v>
                </c:pt>
                <c:pt idx="17">
                  <c:v>0.13540114994678457</c:v>
                </c:pt>
                <c:pt idx="18">
                  <c:v>0.10572180669720832</c:v>
                </c:pt>
                <c:pt idx="19">
                  <c:v>0.12915435554523388</c:v>
                </c:pt>
                <c:pt idx="20">
                  <c:v>0.24035415072564406</c:v>
                </c:pt>
                <c:pt idx="21">
                  <c:v>0.3376551560612055</c:v>
                </c:pt>
                <c:pt idx="22">
                  <c:v>0.31929702995174242</c:v>
                </c:pt>
                <c:pt idx="23">
                  <c:v>0.27613858322885526</c:v>
                </c:pt>
                <c:pt idx="24">
                  <c:v>0.10762984097146132</c:v>
                </c:pt>
              </c:numCache>
            </c:numRef>
          </c:val>
          <c:smooth val="0"/>
          <c:extLst>
            <c:ext xmlns:c16="http://schemas.microsoft.com/office/drawing/2014/chart" uri="{C3380CC4-5D6E-409C-BE32-E72D297353CC}">
              <c16:uniqueId val="{00000000-B60F-994D-9081-757DB915CBD2}"/>
            </c:ext>
          </c:extLst>
        </c:ser>
        <c:ser>
          <c:idx val="1"/>
          <c:order val="1"/>
          <c:tx>
            <c:strRef>
              <c:f>'Return on total assets (ROA)	'!$J$15:$K$15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'Return on total assets (ROA)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total assets (ROA)	'!$L$24:$AJ$24</c:f>
              <c:numCache>
                <c:formatCode>0.000_);[Red]\(0.000\)</c:formatCode>
                <c:ptCount val="25"/>
                <c:pt idx="0" formatCode="General">
                  <c:v>0</c:v>
                </c:pt>
                <c:pt idx="1">
                  <c:v>-0.11712326531664144</c:v>
                </c:pt>
                <c:pt idx="2">
                  <c:v>-0.10078211203792538</c:v>
                </c:pt>
                <c:pt idx="3">
                  <c:v>-0.10308156239301627</c:v>
                </c:pt>
                <c:pt idx="4">
                  <c:v>-0.15595670986909904</c:v>
                </c:pt>
                <c:pt idx="5">
                  <c:v>-0.19125511977934376</c:v>
                </c:pt>
                <c:pt idx="6">
                  <c:v>-0.17464987244794167</c:v>
                </c:pt>
                <c:pt idx="7">
                  <c:v>-0.18193948356459494</c:v>
                </c:pt>
                <c:pt idx="8">
                  <c:v>-0.1169369613041597</c:v>
                </c:pt>
                <c:pt idx="9">
                  <c:v>-1.0664722838257423E-2</c:v>
                </c:pt>
                <c:pt idx="10">
                  <c:v>5.5284738535133784E-2</c:v>
                </c:pt>
                <c:pt idx="11">
                  <c:v>0.10691984599430522</c:v>
                </c:pt>
                <c:pt idx="12">
                  <c:v>-9.7461329632634541E-2</c:v>
                </c:pt>
                <c:pt idx="13">
                  <c:v>-0.20066179683116991</c:v>
                </c:pt>
                <c:pt idx="14">
                  <c:v>-0.10626601310427403</c:v>
                </c:pt>
                <c:pt idx="15">
                  <c:v>-0.29231480293892514</c:v>
                </c:pt>
                <c:pt idx="16">
                  <c:v>-0.25802246825624575</c:v>
                </c:pt>
                <c:pt idx="17">
                  <c:v>-0.26306187197048581</c:v>
                </c:pt>
                <c:pt idx="18">
                  <c:v>-0.27876510593324905</c:v>
                </c:pt>
                <c:pt idx="19">
                  <c:v>-0.33923875959663047</c:v>
                </c:pt>
                <c:pt idx="20">
                  <c:v>-0.26753785405807018</c:v>
                </c:pt>
                <c:pt idx="21">
                  <c:v>-0.178984476576864</c:v>
                </c:pt>
                <c:pt idx="22">
                  <c:v>-0.20930913704073792</c:v>
                </c:pt>
                <c:pt idx="23">
                  <c:v>-0.21811753091550809</c:v>
                </c:pt>
                <c:pt idx="24">
                  <c:v>-0.35394223737065095</c:v>
                </c:pt>
              </c:numCache>
            </c:numRef>
          </c:val>
          <c:smooth val="0"/>
          <c:extLst>
            <c:ext xmlns:c16="http://schemas.microsoft.com/office/drawing/2014/chart" uri="{C3380CC4-5D6E-409C-BE32-E72D297353CC}">
              <c16:uniqueId val="{00000001-B60F-994D-9081-757DB915CBD2}"/>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Return on total assets (ROA)</a:t>
            </a:r>
            <a:r>
              <a:rPr lang="ko-KR" altLang="ko-KR" sz="3000">
                <a:effectLst/>
              </a:rPr>
              <a:t> </a:t>
            </a:r>
          </a:p>
        </c:rich>
      </c:tx>
      <c:overlay val="0"/>
      <c:spPr>
        <a:noFill/>
        <a:ln>
          <a:noFill/>
        </a:ln>
        <a:effectLst/>
      </c:spPr>
    </c:title>
    <c:autoTitleDeleted val="0"/>
    <c:plotArea>
      <c:layout>
        <c:manualLayout>
          <c:layoutTarget val="inner"/>
          <c:xMode val="edge"/>
          <c:yMode val="edge"/>
          <c:x val="6.8277100231506405E-2"/>
          <c:y val="0.14427446552330994"/>
          <c:w val="0.73197923430302936"/>
          <c:h val="0.73600796748814845"/>
        </c:manualLayout>
      </c:layout>
      <c:lineChart>
        <c:grouping val="standard"/>
        <c:varyColors val="0"/>
        <c:ser>
          <c:idx val="0"/>
          <c:order val="0"/>
          <c:tx>
            <c:strRef>
              <c:f>'Return on total assets (ROA)	'!$J$2:$K$2</c:f>
              <c:strCache>
                <c:ptCount val="2"/>
                <c:pt idx="0">
                  <c:v>GOOD</c:v>
                </c:pt>
              </c:strCache>
            </c:strRef>
          </c:tx>
          <c:spPr>
            <a:ln w="28575" cap="rnd" cmpd="sng">
              <a:solidFill>
                <a:srgbClr val="FF0000"/>
              </a:solidFill>
              <a:round/>
            </a:ln>
            <a:effectLst/>
          </c:spPr>
          <c:marker>
            <c:symbol val="none"/>
          </c:marker>
          <c:cat>
            <c:strRef>
              <c:f>'Return on total assets (ROA)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total assets (ROA)	'!$L$11:$AJ$11</c:f>
              <c:numCache>
                <c:formatCode>0.000_);[Red]\(0.000\)</c:formatCode>
                <c:ptCount val="25"/>
                <c:pt idx="0" formatCode="General">
                  <c:v>0</c:v>
                </c:pt>
                <c:pt idx="1">
                  <c:v>-4.5524542588932376E-3</c:v>
                </c:pt>
                <c:pt idx="2">
                  <c:v>4.6827414910896537E-2</c:v>
                </c:pt>
                <c:pt idx="3">
                  <c:v>3.2820024423081157E-2</c:v>
                </c:pt>
                <c:pt idx="4">
                  <c:v>3.4169235898042355E-2</c:v>
                </c:pt>
                <c:pt idx="5">
                  <c:v>3.6752734060021955E-2</c:v>
                </c:pt>
                <c:pt idx="6">
                  <c:v>6.5123694861507486E-4</c:v>
                </c:pt>
                <c:pt idx="7">
                  <c:v>5.1795452224365157E-2</c:v>
                </c:pt>
                <c:pt idx="8">
                  <c:v>0.19155024285856584</c:v>
                </c:pt>
                <c:pt idx="9">
                  <c:v>0.21668171660948266</c:v>
                </c:pt>
                <c:pt idx="10">
                  <c:v>0.26753334378918403</c:v>
                </c:pt>
                <c:pt idx="11">
                  <c:v>0.25910212311582137</c:v>
                </c:pt>
                <c:pt idx="12">
                  <c:v>0.12946163638923103</c:v>
                </c:pt>
                <c:pt idx="13">
                  <c:v>0.11821320231034972</c:v>
                </c:pt>
                <c:pt idx="14">
                  <c:v>0.23407265366473948</c:v>
                </c:pt>
                <c:pt idx="15">
                  <c:v>0.10075752411269555</c:v>
                </c:pt>
                <c:pt idx="16">
                  <c:v>0.10257201056020039</c:v>
                </c:pt>
                <c:pt idx="17">
                  <c:v>0.13540114994678457</c:v>
                </c:pt>
                <c:pt idx="18">
                  <c:v>0.10572180669720832</c:v>
                </c:pt>
                <c:pt idx="19">
                  <c:v>0.12915435554523388</c:v>
                </c:pt>
                <c:pt idx="20">
                  <c:v>0.24035415072564406</c:v>
                </c:pt>
                <c:pt idx="21">
                  <c:v>0.3376551560612055</c:v>
                </c:pt>
                <c:pt idx="22">
                  <c:v>0.31929702995174242</c:v>
                </c:pt>
                <c:pt idx="23">
                  <c:v>0.27613858322885526</c:v>
                </c:pt>
                <c:pt idx="24">
                  <c:v>0.10762984097146132</c:v>
                </c:pt>
              </c:numCache>
            </c:numRef>
          </c:val>
          <c:smooth val="0"/>
          <c:extLst>
            <c:ext xmlns:c16="http://schemas.microsoft.com/office/drawing/2014/chart" uri="{C3380CC4-5D6E-409C-BE32-E72D297353CC}">
              <c16:uniqueId val="{00000000-AD45-9443-81B8-A2D1A5D0888E}"/>
            </c:ext>
          </c:extLst>
        </c:ser>
        <c:ser>
          <c:idx val="1"/>
          <c:order val="1"/>
          <c:tx>
            <c:strRef>
              <c:f>'Return on total assets (ROA)	'!$J$15:$K$15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'Return on total assets (ROA)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total assets (ROA)	'!$L$24:$AJ$24</c:f>
              <c:numCache>
                <c:formatCode>0.000_);[Red]\(0.000\)</c:formatCode>
                <c:ptCount val="25"/>
                <c:pt idx="0" formatCode="General">
                  <c:v>0</c:v>
                </c:pt>
                <c:pt idx="1">
                  <c:v>-0.11712326531664144</c:v>
                </c:pt>
                <c:pt idx="2">
                  <c:v>-0.10078211203792538</c:v>
                </c:pt>
                <c:pt idx="3">
                  <c:v>-0.10308156239301627</c:v>
                </c:pt>
                <c:pt idx="4">
                  <c:v>-0.15595670986909904</c:v>
                </c:pt>
                <c:pt idx="5">
                  <c:v>-0.19125511977934376</c:v>
                </c:pt>
                <c:pt idx="6">
                  <c:v>-0.17464987244794167</c:v>
                </c:pt>
                <c:pt idx="7">
                  <c:v>-0.18193948356459494</c:v>
                </c:pt>
                <c:pt idx="8">
                  <c:v>-0.1169369613041597</c:v>
                </c:pt>
                <c:pt idx="9">
                  <c:v>-1.0664722838257423E-2</c:v>
                </c:pt>
                <c:pt idx="10">
                  <c:v>5.5284738535133784E-2</c:v>
                </c:pt>
                <c:pt idx="11">
                  <c:v>0.10691984599430522</c:v>
                </c:pt>
                <c:pt idx="12">
                  <c:v>-9.7461329632634541E-2</c:v>
                </c:pt>
                <c:pt idx="13">
                  <c:v>-0.20066179683116991</c:v>
                </c:pt>
                <c:pt idx="14">
                  <c:v>-0.10626601310427403</c:v>
                </c:pt>
                <c:pt idx="15">
                  <c:v>-0.29231480293892514</c:v>
                </c:pt>
                <c:pt idx="16">
                  <c:v>-0.25802246825624575</c:v>
                </c:pt>
                <c:pt idx="17">
                  <c:v>-0.26306187197048581</c:v>
                </c:pt>
                <c:pt idx="18">
                  <c:v>-0.27876510593324905</c:v>
                </c:pt>
                <c:pt idx="19">
                  <c:v>-0.33923875959663047</c:v>
                </c:pt>
                <c:pt idx="20">
                  <c:v>-0.26753785405807018</c:v>
                </c:pt>
                <c:pt idx="21">
                  <c:v>-0.178984476576864</c:v>
                </c:pt>
                <c:pt idx="22">
                  <c:v>-0.20930913704073792</c:v>
                </c:pt>
                <c:pt idx="23">
                  <c:v>-0.21811753091550809</c:v>
                </c:pt>
                <c:pt idx="24">
                  <c:v>-0.35394223737065095</c:v>
                </c:pt>
              </c:numCache>
            </c:numRef>
          </c:val>
          <c:smooth val="0"/>
          <c:extLst>
            <c:ext xmlns:c16="http://schemas.microsoft.com/office/drawing/2014/chart" uri="{C3380CC4-5D6E-409C-BE32-E72D297353CC}">
              <c16:uniqueId val="{00000001-AD45-9443-81B8-A2D1A5D0888E}"/>
            </c:ext>
          </c:extLst>
        </c:ser>
        <c:ser>
          <c:idx val="2"/>
          <c:order val="2"/>
          <c:tx>
            <c:strRef>
              <c:f>'Return on total assets (ROA)	'!$J$68:$K$68</c:f>
              <c:strCache>
                <c:ptCount val="2"/>
                <c:pt idx="0">
                  <c:v>Industry average</c:v>
                </c:pt>
              </c:strCache>
            </c:strRef>
          </c:tx>
          <c:spPr>
            <a:ln w="28575">
              <a:solidFill>
                <a:schemeClr val="accent6"/>
              </a:solidFill>
            </a:ln>
          </c:spPr>
          <c:marker>
            <c:symbol val="none"/>
          </c:marker>
          <c:cat>
            <c:strRef>
              <c:f>'Return on total assets (ROA)	'!$L$2:$AJ$2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total assets (ROA)	'!$L$73:$AJ$73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AD45-9443-81B8-A2D1A5D0888E}"/>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5"/>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0411617456595708"/>
          <c:y val="0.12812196544634097"/>
          <c:w val="0.19170096665756539"/>
          <c:h val="0.15605412957247689"/>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3000" b="1" i="0" u="none" strike="noStrike">
                <a:effectLst/>
              </a:rPr>
              <a:t>Return on equity (ROE)</a:t>
            </a:r>
            <a:r>
              <a:rPr lang="ko-KR" altLang="ko-KR" sz="3000">
                <a:effectLst/>
              </a:rPr>
              <a:t>  </a:t>
            </a:r>
          </a:p>
        </c:rich>
      </c:tx>
      <c:overlay val="0"/>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'Return on equity (ROE)'!$J$2:$K$2</c:f>
              <c:strCache>
                <c:ptCount val="2"/>
                <c:pt idx="0">
                  <c:v>GOOD</c:v>
                </c:pt>
              </c:strCache>
            </c:strRef>
          </c:tx>
          <c:spPr>
            <a:ln w="28575" cap="rnd" cmpd="sng">
              <a:solidFill>
                <a:srgbClr val="FF0000"/>
              </a:solidFill>
              <a:round/>
            </a:ln>
            <a:effectLst/>
          </c:spPr>
          <c:marker>
            <c:symbol val="none"/>
          </c:marker>
          <c:cat>
            <c:strRef>
              <c:f>'Return on equity (ROE)'!$L$2:$AJ$2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equity (ROE)'!$L$11:$AJ$11</c:f>
              <c:numCache>
                <c:formatCode>0.000_);[Red]\(0.000\)</c:formatCode>
                <c:ptCount val="25"/>
                <c:pt idx="0" formatCode="General">
                  <c:v>0</c:v>
                </c:pt>
                <c:pt idx="1">
                  <c:v>3.5831389614457282E-3</c:v>
                </c:pt>
                <c:pt idx="2">
                  <c:v>5.5669222820501046E-2</c:v>
                </c:pt>
                <c:pt idx="3">
                  <c:v>3.5786126117996364E-2</c:v>
                </c:pt>
                <c:pt idx="4">
                  <c:v>4.5638162451714648E-2</c:v>
                </c:pt>
                <c:pt idx="5">
                  <c:v>5.2628440274711197E-2</c:v>
                </c:pt>
                <c:pt idx="6">
                  <c:v>1.1583440338445536E-2</c:v>
                </c:pt>
                <c:pt idx="7">
                  <c:v>5.6202231885382065E-2</c:v>
                </c:pt>
                <c:pt idx="8">
                  <c:v>0.19751069483596695</c:v>
                </c:pt>
                <c:pt idx="9">
                  <c:v>0.21679471095976513</c:v>
                </c:pt>
                <c:pt idx="10">
                  <c:v>0.26383277881743261</c:v>
                </c:pt>
                <c:pt idx="11">
                  <c:v>0.25472359204237499</c:v>
                </c:pt>
                <c:pt idx="12">
                  <c:v>0.13463112791465479</c:v>
                </c:pt>
                <c:pt idx="13">
                  <c:v>0.14908890852503903</c:v>
                </c:pt>
                <c:pt idx="14">
                  <c:v>0.2863042920828186</c:v>
                </c:pt>
                <c:pt idx="15">
                  <c:v>0.1560117614008312</c:v>
                </c:pt>
                <c:pt idx="16">
                  <c:v>0.15341946818731908</c:v>
                </c:pt>
                <c:pt idx="17">
                  <c:v>0.1812768561614739</c:v>
                </c:pt>
                <c:pt idx="18">
                  <c:v>0.19363141121698238</c:v>
                </c:pt>
                <c:pt idx="19">
                  <c:v>0.27250652127028108</c:v>
                </c:pt>
                <c:pt idx="20">
                  <c:v>0.44099445204391169</c:v>
                </c:pt>
                <c:pt idx="21">
                  <c:v>0.50643105059981197</c:v>
                </c:pt>
                <c:pt idx="22">
                  <c:v>0.5267546570703866</c:v>
                </c:pt>
                <c:pt idx="23">
                  <c:v>0.46732502390682146</c:v>
                </c:pt>
                <c:pt idx="24">
                  <c:v>0.24849613099029377</c:v>
                </c:pt>
              </c:numCache>
            </c:numRef>
          </c:val>
          <c:smooth val="0"/>
          <c:extLst>
            <c:ext xmlns:c16="http://schemas.microsoft.com/office/drawing/2014/chart" uri="{C3380CC4-5D6E-409C-BE32-E72D297353CC}">
              <c16:uniqueId val="{00000000-3F8B-7942-AE96-76EF3A09C301}"/>
            </c:ext>
          </c:extLst>
        </c:ser>
        <c:ser>
          <c:idx val="1"/>
          <c:order val="1"/>
          <c:tx>
            <c:strRef>
              <c:f>'Return on equity (ROE)'!$J$15:$K$15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'Return on equity (ROE)'!$L$2:$AJ$2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equity (ROE)'!$L$24:$AJ$24</c:f>
              <c:numCache>
                <c:formatCode>0.000_);[Red]\(0.000\)</c:formatCode>
                <c:ptCount val="25"/>
                <c:pt idx="0" formatCode="General">
                  <c:v>0</c:v>
                </c:pt>
                <c:pt idx="1">
                  <c:v>-6.6459283204254829E-2</c:v>
                </c:pt>
                <c:pt idx="2">
                  <c:v>-7.3633463227653739E-2</c:v>
                </c:pt>
                <c:pt idx="3">
                  <c:v>-6.5368831451511039E-2</c:v>
                </c:pt>
                <c:pt idx="4">
                  <c:v>-3.3861406311048017E-2</c:v>
                </c:pt>
                <c:pt idx="5">
                  <c:v>-9.9737231099157275E-2</c:v>
                </c:pt>
                <c:pt idx="6">
                  <c:v>-0.1825155979610445</c:v>
                </c:pt>
                <c:pt idx="7">
                  <c:v>-0.1203837106591728</c:v>
                </c:pt>
                <c:pt idx="8">
                  <c:v>-4.2263146371965737E-2</c:v>
                </c:pt>
                <c:pt idx="9">
                  <c:v>4.1961136324884407E-2</c:v>
                </c:pt>
                <c:pt idx="10">
                  <c:v>4.4554085620021389E-2</c:v>
                </c:pt>
                <c:pt idx="11">
                  <c:v>9.8037187708866075E-2</c:v>
                </c:pt>
                <c:pt idx="12">
                  <c:v>-5.1210128967418958E-2</c:v>
                </c:pt>
                <c:pt idx="13">
                  <c:v>-0.12666815507532153</c:v>
                </c:pt>
                <c:pt idx="14">
                  <c:v>-4.258165763010574E-2</c:v>
                </c:pt>
                <c:pt idx="15">
                  <c:v>-0.22072834235229552</c:v>
                </c:pt>
                <c:pt idx="16">
                  <c:v>-0.22996111989979603</c:v>
                </c:pt>
                <c:pt idx="17">
                  <c:v>-0.2854271767100513</c:v>
                </c:pt>
                <c:pt idx="18">
                  <c:v>-0.30337876812059555</c:v>
                </c:pt>
                <c:pt idx="19">
                  <c:v>-0.35389198902504332</c:v>
                </c:pt>
                <c:pt idx="20">
                  <c:v>-0.31021348173480073</c:v>
                </c:pt>
                <c:pt idx="21">
                  <c:v>-0.2023277107003997</c:v>
                </c:pt>
                <c:pt idx="22">
                  <c:v>-0.23237511201236524</c:v>
                </c:pt>
                <c:pt idx="23">
                  <c:v>-0.19680414021391113</c:v>
                </c:pt>
                <c:pt idx="24">
                  <c:v>-0.30881798818621015</c:v>
                </c:pt>
              </c:numCache>
            </c:numRef>
          </c:val>
          <c:smooth val="0"/>
          <c:extLst>
            <c:ext xmlns:c16="http://schemas.microsoft.com/office/drawing/2014/chart" uri="{C3380CC4-5D6E-409C-BE32-E72D297353CC}">
              <c16:uniqueId val="{00000001-3F8B-7942-AE96-76EF3A09C301}"/>
            </c:ext>
          </c:extLst>
        </c:ser>
        <c:ser>
          <c:idx val="2"/>
          <c:order val="2"/>
          <c:tx>
            <c:strRef>
              <c:f>'Return on equity (ROE)'!$J$26:$K$26</c:f>
              <c:strCache>
                <c:ptCount val="2"/>
                <c:pt idx="0">
                  <c:v>S&amp;P 500</c:v>
                </c:pt>
              </c:strCache>
            </c:strRef>
          </c:tx>
          <c:spPr>
            <a:ln w="28575">
              <a:solidFill>
                <a:schemeClr val="accent4"/>
              </a:solidFill>
            </a:ln>
          </c:spPr>
          <c:marker>
            <c:symbol val="none"/>
          </c:marker>
          <c:cat>
            <c:strRef>
              <c:f>'Return on equity (ROE)'!$L$2:$AJ$2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equity (ROE)'!$L$31:$AJ$31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3F8B-7942-AE96-76EF3A09C301}"/>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Return on equity (ROE)</a:t>
            </a:r>
            <a:r>
              <a:rPr lang="ko-KR" altLang="ko-KR" sz="3000">
                <a:effectLst/>
              </a:rPr>
              <a:t> </a:t>
            </a:r>
          </a:p>
        </c:rich>
      </c:tx>
      <c:overlay val="0"/>
      <c:spPr>
        <a:noFill/>
        <a:ln>
          <a:noFill/>
        </a:ln>
        <a:effectLst/>
      </c:spPr>
    </c:title>
    <c:autoTitleDeleted val="0"/>
    <c:plotArea>
      <c:layout>
        <c:manualLayout>
          <c:layoutTarget val="inner"/>
          <c:xMode val="edge"/>
          <c:yMode val="edge"/>
          <c:x val="0.10874233152230864"/>
          <c:y val="0.13371204096398065"/>
          <c:w val="0.73197923430302936"/>
          <c:h val="0.73600796748814845"/>
        </c:manualLayout>
      </c:layout>
      <c:lineChart>
        <c:grouping val="standard"/>
        <c:varyColors val="0"/>
        <c:ser>
          <c:idx val="0"/>
          <c:order val="0"/>
          <c:tx>
            <c:strRef>
              <c:f>'Return on equity (ROE)'!$J$2:$K$2</c:f>
              <c:strCache>
                <c:ptCount val="2"/>
                <c:pt idx="0">
                  <c:v>GOOD</c:v>
                </c:pt>
              </c:strCache>
            </c:strRef>
          </c:tx>
          <c:spPr>
            <a:ln w="28575" cap="rnd" cmpd="sng">
              <a:solidFill>
                <a:srgbClr val="FF0000"/>
              </a:solidFill>
              <a:round/>
            </a:ln>
            <a:effectLst/>
          </c:spPr>
          <c:marker>
            <c:symbol val="none"/>
          </c:marker>
          <c:cat>
            <c:strRef>
              <c:f>'Return on equity (ROE)'!$L$2:$AJ$2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equity (ROE)'!$L$11:$AJ$11</c:f>
              <c:numCache>
                <c:formatCode>0.000_);[Red]\(0.000\)</c:formatCode>
                <c:ptCount val="25"/>
                <c:pt idx="0" formatCode="General">
                  <c:v>0</c:v>
                </c:pt>
                <c:pt idx="1">
                  <c:v>3.5831389614457282E-3</c:v>
                </c:pt>
                <c:pt idx="2">
                  <c:v>5.5669222820501046E-2</c:v>
                </c:pt>
                <c:pt idx="3">
                  <c:v>3.5786126117996364E-2</c:v>
                </c:pt>
                <c:pt idx="4">
                  <c:v>4.5638162451714648E-2</c:v>
                </c:pt>
                <c:pt idx="5">
                  <c:v>5.2628440274711197E-2</c:v>
                </c:pt>
                <c:pt idx="6">
                  <c:v>1.1583440338445536E-2</c:v>
                </c:pt>
                <c:pt idx="7">
                  <c:v>5.6202231885382065E-2</c:v>
                </c:pt>
                <c:pt idx="8">
                  <c:v>0.19751069483596695</c:v>
                </c:pt>
                <c:pt idx="9">
                  <c:v>0.21679471095976513</c:v>
                </c:pt>
                <c:pt idx="10">
                  <c:v>0.26383277881743261</c:v>
                </c:pt>
                <c:pt idx="11">
                  <c:v>0.25472359204237499</c:v>
                </c:pt>
                <c:pt idx="12">
                  <c:v>0.13463112791465479</c:v>
                </c:pt>
                <c:pt idx="13">
                  <c:v>0.14908890852503903</c:v>
                </c:pt>
                <c:pt idx="14">
                  <c:v>0.2863042920828186</c:v>
                </c:pt>
                <c:pt idx="15">
                  <c:v>0.1560117614008312</c:v>
                </c:pt>
                <c:pt idx="16">
                  <c:v>0.15341946818731908</c:v>
                </c:pt>
                <c:pt idx="17">
                  <c:v>0.1812768561614739</c:v>
                </c:pt>
                <c:pt idx="18">
                  <c:v>0.19363141121698238</c:v>
                </c:pt>
                <c:pt idx="19">
                  <c:v>0.27250652127028108</c:v>
                </c:pt>
                <c:pt idx="20">
                  <c:v>0.44099445204391169</c:v>
                </c:pt>
                <c:pt idx="21">
                  <c:v>0.50643105059981197</c:v>
                </c:pt>
                <c:pt idx="22">
                  <c:v>0.5267546570703866</c:v>
                </c:pt>
                <c:pt idx="23">
                  <c:v>0.46732502390682146</c:v>
                </c:pt>
                <c:pt idx="24">
                  <c:v>0.24849613099029377</c:v>
                </c:pt>
              </c:numCache>
            </c:numRef>
          </c:val>
          <c:smooth val="0"/>
          <c:extLst>
            <c:ext xmlns:c16="http://schemas.microsoft.com/office/drawing/2014/chart" uri="{C3380CC4-5D6E-409C-BE32-E72D297353CC}">
              <c16:uniqueId val="{00000000-33D6-384E-922C-0A4C2B909153}"/>
            </c:ext>
          </c:extLst>
        </c:ser>
        <c:ser>
          <c:idx val="1"/>
          <c:order val="1"/>
          <c:tx>
            <c:strRef>
              <c:f>'Return on equity (ROE)'!$J$15:$K$15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'Return on equity (ROE)'!$L$2:$AJ$2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equity (ROE)'!$L$24:$AJ$24</c:f>
              <c:numCache>
                <c:formatCode>0.000_);[Red]\(0.000\)</c:formatCode>
                <c:ptCount val="25"/>
                <c:pt idx="0" formatCode="General">
                  <c:v>0</c:v>
                </c:pt>
                <c:pt idx="1">
                  <c:v>-6.6459283204254829E-2</c:v>
                </c:pt>
                <c:pt idx="2">
                  <c:v>-7.3633463227653739E-2</c:v>
                </c:pt>
                <c:pt idx="3">
                  <c:v>-6.5368831451511039E-2</c:v>
                </c:pt>
                <c:pt idx="4">
                  <c:v>-3.3861406311048017E-2</c:v>
                </c:pt>
                <c:pt idx="5">
                  <c:v>-9.9737231099157275E-2</c:v>
                </c:pt>
                <c:pt idx="6">
                  <c:v>-0.1825155979610445</c:v>
                </c:pt>
                <c:pt idx="7">
                  <c:v>-0.1203837106591728</c:v>
                </c:pt>
                <c:pt idx="8">
                  <c:v>-4.2263146371965737E-2</c:v>
                </c:pt>
                <c:pt idx="9">
                  <c:v>4.1961136324884407E-2</c:v>
                </c:pt>
                <c:pt idx="10">
                  <c:v>4.4554085620021389E-2</c:v>
                </c:pt>
                <c:pt idx="11">
                  <c:v>9.8037187708866075E-2</c:v>
                </c:pt>
                <c:pt idx="12">
                  <c:v>-5.1210128967418958E-2</c:v>
                </c:pt>
                <c:pt idx="13">
                  <c:v>-0.12666815507532153</c:v>
                </c:pt>
                <c:pt idx="14">
                  <c:v>-4.258165763010574E-2</c:v>
                </c:pt>
                <c:pt idx="15">
                  <c:v>-0.22072834235229552</c:v>
                </c:pt>
                <c:pt idx="16">
                  <c:v>-0.22996111989979603</c:v>
                </c:pt>
                <c:pt idx="17">
                  <c:v>-0.2854271767100513</c:v>
                </c:pt>
                <c:pt idx="18">
                  <c:v>-0.30337876812059555</c:v>
                </c:pt>
                <c:pt idx="19">
                  <c:v>-0.35389198902504332</c:v>
                </c:pt>
                <c:pt idx="20">
                  <c:v>-0.31021348173480073</c:v>
                </c:pt>
                <c:pt idx="21">
                  <c:v>-0.2023277107003997</c:v>
                </c:pt>
                <c:pt idx="22">
                  <c:v>-0.23237511201236524</c:v>
                </c:pt>
                <c:pt idx="23">
                  <c:v>-0.19680414021391113</c:v>
                </c:pt>
                <c:pt idx="24">
                  <c:v>-0.30881798818621015</c:v>
                </c:pt>
              </c:numCache>
            </c:numRef>
          </c:val>
          <c:smooth val="0"/>
          <c:extLst>
            <c:ext xmlns:c16="http://schemas.microsoft.com/office/drawing/2014/chart" uri="{C3380CC4-5D6E-409C-BE32-E72D297353CC}">
              <c16:uniqueId val="{00000001-33D6-384E-922C-0A4C2B909153}"/>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87206935691510379"/>
          <c:y val="0.12187896811913984"/>
          <c:w val="0.10408665131905268"/>
          <c:h val="0.10411944896357558"/>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Return on equity (ROE)</a:t>
            </a:r>
            <a:r>
              <a:rPr lang="ko-KR" altLang="ko-KR" sz="3000">
                <a:effectLst/>
              </a:rPr>
              <a:t> </a:t>
            </a:r>
          </a:p>
        </c:rich>
      </c:tx>
      <c:overlay val="0"/>
      <c:spPr>
        <a:noFill/>
        <a:ln>
          <a:noFill/>
        </a:ln>
        <a:effectLst/>
      </c:spPr>
    </c:title>
    <c:autoTitleDeleted val="0"/>
    <c:plotArea>
      <c:layout>
        <c:manualLayout>
          <c:layoutTarget val="inner"/>
          <c:xMode val="edge"/>
          <c:yMode val="edge"/>
          <c:x val="6.9469417487242099E-2"/>
          <c:y val="0.12102072182627083"/>
          <c:w val="0.73197923430302936"/>
          <c:h val="0.73600796748814845"/>
        </c:manualLayout>
      </c:layout>
      <c:lineChart>
        <c:grouping val="standard"/>
        <c:varyColors val="0"/>
        <c:ser>
          <c:idx val="0"/>
          <c:order val="0"/>
          <c:tx>
            <c:strRef>
              <c:f>'Return on equity (ROE)'!$J$2:$K$2</c:f>
              <c:strCache>
                <c:ptCount val="2"/>
                <c:pt idx="0">
                  <c:v>GOOD</c:v>
                </c:pt>
              </c:strCache>
            </c:strRef>
          </c:tx>
          <c:spPr>
            <a:ln w="28575" cap="rnd" cmpd="sng">
              <a:solidFill>
                <a:srgbClr val="FF0000"/>
              </a:solidFill>
              <a:round/>
            </a:ln>
            <a:effectLst/>
          </c:spPr>
          <c:marker>
            <c:symbol val="none"/>
          </c:marker>
          <c:cat>
            <c:strRef>
              <c:f>'Return on equity (ROE)'!$L$2:$AJ$2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equity (ROE)'!$L$11:$AJ$11</c:f>
              <c:numCache>
                <c:formatCode>0.000_);[Red]\(0.000\)</c:formatCode>
                <c:ptCount val="25"/>
                <c:pt idx="0" formatCode="General">
                  <c:v>0</c:v>
                </c:pt>
                <c:pt idx="1">
                  <c:v>3.5831389614457282E-3</c:v>
                </c:pt>
                <c:pt idx="2">
                  <c:v>5.5669222820501046E-2</c:v>
                </c:pt>
                <c:pt idx="3">
                  <c:v>3.5786126117996364E-2</c:v>
                </c:pt>
                <c:pt idx="4">
                  <c:v>4.5638162451714648E-2</c:v>
                </c:pt>
                <c:pt idx="5">
                  <c:v>5.2628440274711197E-2</c:v>
                </c:pt>
                <c:pt idx="6">
                  <c:v>1.1583440338445536E-2</c:v>
                </c:pt>
                <c:pt idx="7">
                  <c:v>5.6202231885382065E-2</c:v>
                </c:pt>
                <c:pt idx="8">
                  <c:v>0.19751069483596695</c:v>
                </c:pt>
                <c:pt idx="9">
                  <c:v>0.21679471095976513</c:v>
                </c:pt>
                <c:pt idx="10">
                  <c:v>0.26383277881743261</c:v>
                </c:pt>
                <c:pt idx="11">
                  <c:v>0.25472359204237499</c:v>
                </c:pt>
                <c:pt idx="12">
                  <c:v>0.13463112791465479</c:v>
                </c:pt>
                <c:pt idx="13">
                  <c:v>0.14908890852503903</c:v>
                </c:pt>
                <c:pt idx="14">
                  <c:v>0.2863042920828186</c:v>
                </c:pt>
                <c:pt idx="15">
                  <c:v>0.1560117614008312</c:v>
                </c:pt>
                <c:pt idx="16">
                  <c:v>0.15341946818731908</c:v>
                </c:pt>
                <c:pt idx="17">
                  <c:v>0.1812768561614739</c:v>
                </c:pt>
                <c:pt idx="18">
                  <c:v>0.19363141121698238</c:v>
                </c:pt>
                <c:pt idx="19">
                  <c:v>0.27250652127028108</c:v>
                </c:pt>
                <c:pt idx="20">
                  <c:v>0.44099445204391169</c:v>
                </c:pt>
                <c:pt idx="21">
                  <c:v>0.50643105059981197</c:v>
                </c:pt>
                <c:pt idx="22">
                  <c:v>0.5267546570703866</c:v>
                </c:pt>
                <c:pt idx="23">
                  <c:v>0.46732502390682146</c:v>
                </c:pt>
                <c:pt idx="24">
                  <c:v>0.24849613099029377</c:v>
                </c:pt>
              </c:numCache>
            </c:numRef>
          </c:val>
          <c:smooth val="0"/>
          <c:extLst>
            <c:ext xmlns:c16="http://schemas.microsoft.com/office/drawing/2014/chart" uri="{C3380CC4-5D6E-409C-BE32-E72D297353CC}">
              <c16:uniqueId val="{00000000-8321-1A4D-ADF7-84B8375FC11B}"/>
            </c:ext>
          </c:extLst>
        </c:ser>
        <c:ser>
          <c:idx val="1"/>
          <c:order val="1"/>
          <c:tx>
            <c:strRef>
              <c:f>'Return on equity (ROE)'!$J$15:$K$15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'Return on equity (ROE)'!$L$2:$AJ$2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equity (ROE)'!$L$24:$AJ$24</c:f>
              <c:numCache>
                <c:formatCode>0.000_);[Red]\(0.000\)</c:formatCode>
                <c:ptCount val="25"/>
                <c:pt idx="0" formatCode="General">
                  <c:v>0</c:v>
                </c:pt>
                <c:pt idx="1">
                  <c:v>-6.6459283204254829E-2</c:v>
                </c:pt>
                <c:pt idx="2">
                  <c:v>-7.3633463227653739E-2</c:v>
                </c:pt>
                <c:pt idx="3">
                  <c:v>-6.5368831451511039E-2</c:v>
                </c:pt>
                <c:pt idx="4">
                  <c:v>-3.3861406311048017E-2</c:v>
                </c:pt>
                <c:pt idx="5">
                  <c:v>-9.9737231099157275E-2</c:v>
                </c:pt>
                <c:pt idx="6">
                  <c:v>-0.1825155979610445</c:v>
                </c:pt>
                <c:pt idx="7">
                  <c:v>-0.1203837106591728</c:v>
                </c:pt>
                <c:pt idx="8">
                  <c:v>-4.2263146371965737E-2</c:v>
                </c:pt>
                <c:pt idx="9">
                  <c:v>4.1961136324884407E-2</c:v>
                </c:pt>
                <c:pt idx="10">
                  <c:v>4.4554085620021389E-2</c:v>
                </c:pt>
                <c:pt idx="11">
                  <c:v>9.8037187708866075E-2</c:v>
                </c:pt>
                <c:pt idx="12">
                  <c:v>-5.1210128967418958E-2</c:v>
                </c:pt>
                <c:pt idx="13">
                  <c:v>-0.12666815507532153</c:v>
                </c:pt>
                <c:pt idx="14">
                  <c:v>-4.258165763010574E-2</c:v>
                </c:pt>
                <c:pt idx="15">
                  <c:v>-0.22072834235229552</c:v>
                </c:pt>
                <c:pt idx="16">
                  <c:v>-0.22996111989979603</c:v>
                </c:pt>
                <c:pt idx="17">
                  <c:v>-0.2854271767100513</c:v>
                </c:pt>
                <c:pt idx="18">
                  <c:v>-0.30337876812059555</c:v>
                </c:pt>
                <c:pt idx="19">
                  <c:v>-0.35389198902504332</c:v>
                </c:pt>
                <c:pt idx="20">
                  <c:v>-0.31021348173480073</c:v>
                </c:pt>
                <c:pt idx="21">
                  <c:v>-0.2023277107003997</c:v>
                </c:pt>
                <c:pt idx="22">
                  <c:v>-0.23237511201236524</c:v>
                </c:pt>
                <c:pt idx="23">
                  <c:v>-0.19680414021391113</c:v>
                </c:pt>
                <c:pt idx="24">
                  <c:v>-0.30881798818621015</c:v>
                </c:pt>
              </c:numCache>
            </c:numRef>
          </c:val>
          <c:smooth val="0"/>
          <c:extLst>
            <c:ext xmlns:c16="http://schemas.microsoft.com/office/drawing/2014/chart" uri="{C3380CC4-5D6E-409C-BE32-E72D297353CC}">
              <c16:uniqueId val="{00000001-8321-1A4D-ADF7-84B8375FC11B}"/>
            </c:ext>
          </c:extLst>
        </c:ser>
        <c:ser>
          <c:idx val="2"/>
          <c:order val="2"/>
          <c:tx>
            <c:strRef>
              <c:f>'Return on equity (ROE)'!$J$68:$K$68</c:f>
              <c:strCache>
                <c:ptCount val="2"/>
                <c:pt idx="0">
                  <c:v>Industry average</c:v>
                </c:pt>
              </c:strCache>
            </c:strRef>
          </c:tx>
          <c:spPr>
            <a:ln w="28575">
              <a:solidFill>
                <a:schemeClr val="accent6"/>
              </a:solidFill>
            </a:ln>
          </c:spPr>
          <c:marker>
            <c:symbol val="none"/>
          </c:marker>
          <c:cat>
            <c:strRef>
              <c:f>'Return on equity (ROE)'!$L$2:$AJ$2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'Return on equity (ROE)'!$L$73:$AJ$73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8321-1A4D-ADF7-84B8375FC11B}"/>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7994370460379755"/>
          <c:y val="0.10918764898143003"/>
          <c:w val="0.19911474554407935"/>
          <c:h val="0.15617917344536336"/>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3000" b="1" i="0" u="none" strike="noStrike">
                <a:effectLst/>
              </a:rPr>
              <a:t>Earnings per share</a:t>
            </a:r>
            <a:r>
              <a:rPr lang="ko-KR" altLang="ko-KR" sz="3000">
                <a:effectLst/>
              </a:rPr>
              <a:t> </a:t>
            </a:r>
          </a:p>
        </c:rich>
      </c:tx>
      <c:overlay val="0"/>
      <c:spPr>
        <a:noFill/>
        <a:ln>
          <a:noFill/>
        </a:ln>
        <a:effectLst/>
      </c:spPr>
    </c:title>
    <c:autoTitleDeleted val="0"/>
    <c:plotArea>
      <c:layout>
        <c:manualLayout>
          <c:layoutTarget val="inner"/>
          <c:xMode val="edge"/>
          <c:yMode val="edge"/>
          <c:x val="9.6204912408690418E-2"/>
          <c:y val="0.12736638139512574"/>
          <c:w val="0.73197923430302936"/>
          <c:h val="0.73600796748814845"/>
        </c:manualLayout>
      </c:layout>
      <c:lineChart>
        <c:grouping val="standard"/>
        <c:varyColors val="0"/>
        <c:ser>
          <c:idx val="0"/>
          <c:order val="0"/>
          <c:tx>
            <c:strRef>
              <c:f>'Earnings per share'!$J$2:$K$2</c:f>
              <c:strCache>
                <c:ptCount val="2"/>
                <c:pt idx="0">
                  <c:v>GOOD</c:v>
                </c:pt>
              </c:strCache>
            </c:strRef>
          </c:tx>
          <c:spPr>
            <a:ln w="28575" cap="rnd" cmpd="sng">
              <a:solidFill>
                <a:srgbClr val="FF0000"/>
              </a:solidFill>
              <a:round/>
            </a:ln>
            <a:effectLst/>
          </c:spPr>
          <c:marker>
            <c:symbol val="none"/>
          </c:marker>
          <c:cat>
            <c:strRef>
              <c:f>'Earnings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'Earnings per share'!$L$11:$AJ$11</c:f>
              <c:numCache>
                <c:formatCode>0.000_);[Red]\(0.000\)</c:formatCode>
                <c:ptCount val="25"/>
                <c:pt idx="0" formatCode="General">
                  <c:v>0</c:v>
                </c:pt>
                <c:pt idx="1">
                  <c:v>-7.7788841191284708E-3</c:v>
                </c:pt>
                <c:pt idx="2">
                  <c:v>3.7262653806655999E-2</c:v>
                </c:pt>
                <c:pt idx="3">
                  <c:v>3.523658695020998E-2</c:v>
                </c:pt>
                <c:pt idx="4">
                  <c:v>4.7256376599960209E-2</c:v>
                </c:pt>
                <c:pt idx="5">
                  <c:v>5.7518964582046014E-2</c:v>
                </c:pt>
                <c:pt idx="6">
                  <c:v>1.3478142007737323E-2</c:v>
                </c:pt>
                <c:pt idx="7">
                  <c:v>5.4881392067967494E-2</c:v>
                </c:pt>
                <c:pt idx="8">
                  <c:v>0.20089883292269264</c:v>
                </c:pt>
                <c:pt idx="9">
                  <c:v>0.22219857377982685</c:v>
                </c:pt>
                <c:pt idx="10">
                  <c:v>0.26391231163298401</c:v>
                </c:pt>
                <c:pt idx="11">
                  <c:v>0.24833566412253122</c:v>
                </c:pt>
                <c:pt idx="12">
                  <c:v>0.12401917626720618</c:v>
                </c:pt>
                <c:pt idx="13">
                  <c:v>0.14931189794821356</c:v>
                </c:pt>
                <c:pt idx="14">
                  <c:v>0.28188661964561484</c:v>
                </c:pt>
                <c:pt idx="15">
                  <c:v>0.14496589385634387</c:v>
                </c:pt>
                <c:pt idx="16">
                  <c:v>0.1401687217800314</c:v>
                </c:pt>
                <c:pt idx="17">
                  <c:v>0.1673389663786542</c:v>
                </c:pt>
                <c:pt idx="18">
                  <c:v>0.18317846616499556</c:v>
                </c:pt>
                <c:pt idx="19">
                  <c:v>0.26155517372273968</c:v>
                </c:pt>
                <c:pt idx="20">
                  <c:v>0.43610916616578788</c:v>
                </c:pt>
                <c:pt idx="21">
                  <c:v>0.49320235990800082</c:v>
                </c:pt>
                <c:pt idx="22">
                  <c:v>0.49974234066139078</c:v>
                </c:pt>
                <c:pt idx="23">
                  <c:v>0.43155268422991172</c:v>
                </c:pt>
                <c:pt idx="24">
                  <c:v>0.23182666996995324</c:v>
                </c:pt>
              </c:numCache>
            </c:numRef>
          </c:val>
          <c:smooth val="0"/>
          <c:extLst>
            <c:ext xmlns:c16="http://schemas.microsoft.com/office/drawing/2014/chart" uri="{C3380CC4-5D6E-409C-BE32-E72D297353CC}">
              <c16:uniqueId val="{00000000-B624-D04F-BFF9-8E020AF67A2E}"/>
            </c:ext>
          </c:extLst>
        </c:ser>
        <c:ser>
          <c:idx val="1"/>
          <c:order val="1"/>
          <c:tx>
            <c:strRef>
              <c:f>'Earnings per share'!$J$15:$K$15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'Earnings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'Earnings per share'!$L$24:$AJ$24</c:f>
              <c:numCache>
                <c:formatCode>0.000_);[Red]\(0.000\)</c:formatCode>
                <c:ptCount val="25"/>
                <c:pt idx="0" formatCode="General">
                  <c:v>0</c:v>
                </c:pt>
                <c:pt idx="1">
                  <c:v>-7.6695924544337157E-2</c:v>
                </c:pt>
                <c:pt idx="2">
                  <c:v>-8.3400819275740751E-2</c:v>
                </c:pt>
                <c:pt idx="3">
                  <c:v>-0.12141213497328673</c:v>
                </c:pt>
                <c:pt idx="4">
                  <c:v>-0.14660441890766129</c:v>
                </c:pt>
                <c:pt idx="5">
                  <c:v>-0.20328604787943613</c:v>
                </c:pt>
                <c:pt idx="6">
                  <c:v>-0.22171962723704675</c:v>
                </c:pt>
                <c:pt idx="7">
                  <c:v>-0.22995516425113799</c:v>
                </c:pt>
                <c:pt idx="8">
                  <c:v>-0.16362881222288744</c:v>
                </c:pt>
                <c:pt idx="9">
                  <c:v>-8.0209286751964814E-2</c:v>
                </c:pt>
                <c:pt idx="10">
                  <c:v>-2.2827881690748023E-2</c:v>
                </c:pt>
                <c:pt idx="11">
                  <c:v>6.0677007920389853E-2</c:v>
                </c:pt>
                <c:pt idx="12">
                  <c:v>-9.0388029182158713E-2</c:v>
                </c:pt>
                <c:pt idx="13">
                  <c:v>-0.19093197188935884</c:v>
                </c:pt>
                <c:pt idx="14">
                  <c:v>-9.4964517432777174E-2</c:v>
                </c:pt>
                <c:pt idx="15">
                  <c:v>-0.24698181270480754</c:v>
                </c:pt>
                <c:pt idx="16">
                  <c:v>-0.24854139586980706</c:v>
                </c:pt>
                <c:pt idx="17">
                  <c:v>-0.28775631004073854</c:v>
                </c:pt>
                <c:pt idx="18">
                  <c:v>-0.28889953018505005</c:v>
                </c:pt>
                <c:pt idx="19">
                  <c:v>-0.36516961020619582</c:v>
                </c:pt>
                <c:pt idx="20">
                  <c:v>-0.31305452379124621</c:v>
                </c:pt>
                <c:pt idx="21">
                  <c:v>-0.22682142917716078</c:v>
                </c:pt>
                <c:pt idx="22">
                  <c:v>-0.22311221512817395</c:v>
                </c:pt>
                <c:pt idx="23">
                  <c:v>-0.2063622331056317</c:v>
                </c:pt>
                <c:pt idx="24">
                  <c:v>-0.33200332755680922</c:v>
                </c:pt>
              </c:numCache>
            </c:numRef>
          </c:val>
          <c:smooth val="0"/>
          <c:extLst>
            <c:ext xmlns:c16="http://schemas.microsoft.com/office/drawing/2014/chart" uri="{C3380CC4-5D6E-409C-BE32-E72D297353CC}">
              <c16:uniqueId val="{00000001-B624-D04F-BFF9-8E020AF67A2E}"/>
            </c:ext>
          </c:extLst>
        </c:ser>
        <c:ser>
          <c:idx val="2"/>
          <c:order val="2"/>
          <c:tx>
            <c:strRef>
              <c:f>'Earnings per share'!$J$26:$K$26</c:f>
              <c:strCache>
                <c:ptCount val="2"/>
                <c:pt idx="0">
                  <c:v>S&amp;P 500</c:v>
                </c:pt>
              </c:strCache>
            </c:strRef>
          </c:tx>
          <c:spPr>
            <a:ln w="28575">
              <a:solidFill>
                <a:schemeClr val="accent4"/>
              </a:solidFill>
            </a:ln>
          </c:spPr>
          <c:marker>
            <c:symbol val="none"/>
          </c:marker>
          <c:cat>
            <c:strRef>
              <c:f>'Earnings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'Earnings per share'!$L$31:$AJ$31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B624-D04F-BFF9-8E020AF67A2E}"/>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Earnings per share</a:t>
            </a:r>
            <a:r>
              <a:rPr lang="ko-KR" altLang="ko-KR" sz="3000">
                <a:effectLst/>
              </a:rPr>
              <a:t> </a:t>
            </a:r>
          </a:p>
        </c:rich>
      </c:tx>
      <c:overlay val="0"/>
      <c:spPr>
        <a:noFill/>
        <a:ln>
          <a:noFill/>
        </a:ln>
        <a:effectLst/>
      </c:spPr>
    </c:title>
    <c:autoTitleDeleted val="0"/>
    <c:plotArea>
      <c:layout>
        <c:manualLayout>
          <c:layoutTarget val="inner"/>
          <c:xMode val="edge"/>
          <c:yMode val="edge"/>
          <c:x val="0.12422375018375133"/>
          <c:y val="0.12102072182627083"/>
          <c:w val="0.73197923430302936"/>
          <c:h val="0.73600796748814845"/>
        </c:manualLayout>
      </c:layout>
      <c:lineChart>
        <c:grouping val="standard"/>
        <c:varyColors val="0"/>
        <c:ser>
          <c:idx val="0"/>
          <c:order val="0"/>
          <c:tx>
            <c:strRef>
              <c:f>'Earnings per share'!$J$2:$K$2</c:f>
              <c:strCache>
                <c:ptCount val="2"/>
                <c:pt idx="0">
                  <c:v>GOOD</c:v>
                </c:pt>
              </c:strCache>
            </c:strRef>
          </c:tx>
          <c:spPr>
            <a:ln w="28575" cap="rnd" cmpd="sng">
              <a:solidFill>
                <a:srgbClr val="FF0000"/>
              </a:solidFill>
              <a:round/>
            </a:ln>
            <a:effectLst/>
          </c:spPr>
          <c:marker>
            <c:symbol val="none"/>
          </c:marker>
          <c:cat>
            <c:strRef>
              <c:f>'Earnings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'Earnings per share'!$L$11:$AJ$11</c:f>
              <c:numCache>
                <c:formatCode>0.000_);[Red]\(0.000\)</c:formatCode>
                <c:ptCount val="25"/>
                <c:pt idx="0" formatCode="General">
                  <c:v>0</c:v>
                </c:pt>
                <c:pt idx="1">
                  <c:v>-7.7788841191284708E-3</c:v>
                </c:pt>
                <c:pt idx="2">
                  <c:v>3.7262653806655999E-2</c:v>
                </c:pt>
                <c:pt idx="3">
                  <c:v>3.523658695020998E-2</c:v>
                </c:pt>
                <c:pt idx="4">
                  <c:v>4.7256376599960209E-2</c:v>
                </c:pt>
                <c:pt idx="5">
                  <c:v>5.7518964582046014E-2</c:v>
                </c:pt>
                <c:pt idx="6">
                  <c:v>1.3478142007737323E-2</c:v>
                </c:pt>
                <c:pt idx="7">
                  <c:v>5.4881392067967494E-2</c:v>
                </c:pt>
                <c:pt idx="8">
                  <c:v>0.20089883292269264</c:v>
                </c:pt>
                <c:pt idx="9">
                  <c:v>0.22219857377982685</c:v>
                </c:pt>
                <c:pt idx="10">
                  <c:v>0.26391231163298401</c:v>
                </c:pt>
                <c:pt idx="11">
                  <c:v>0.24833566412253122</c:v>
                </c:pt>
                <c:pt idx="12">
                  <c:v>0.12401917626720618</c:v>
                </c:pt>
                <c:pt idx="13">
                  <c:v>0.14931189794821356</c:v>
                </c:pt>
                <c:pt idx="14">
                  <c:v>0.28188661964561484</c:v>
                </c:pt>
                <c:pt idx="15">
                  <c:v>0.14496589385634387</c:v>
                </c:pt>
                <c:pt idx="16">
                  <c:v>0.1401687217800314</c:v>
                </c:pt>
                <c:pt idx="17">
                  <c:v>0.1673389663786542</c:v>
                </c:pt>
                <c:pt idx="18">
                  <c:v>0.18317846616499556</c:v>
                </c:pt>
                <c:pt idx="19">
                  <c:v>0.26155517372273968</c:v>
                </c:pt>
                <c:pt idx="20">
                  <c:v>0.43610916616578788</c:v>
                </c:pt>
                <c:pt idx="21">
                  <c:v>0.49320235990800082</c:v>
                </c:pt>
                <c:pt idx="22">
                  <c:v>0.49974234066139078</c:v>
                </c:pt>
                <c:pt idx="23">
                  <c:v>0.43155268422991172</c:v>
                </c:pt>
                <c:pt idx="24">
                  <c:v>0.23182666996995324</c:v>
                </c:pt>
              </c:numCache>
            </c:numRef>
          </c:val>
          <c:smooth val="0"/>
          <c:extLst>
            <c:ext xmlns:c16="http://schemas.microsoft.com/office/drawing/2014/chart" uri="{C3380CC4-5D6E-409C-BE32-E72D297353CC}">
              <c16:uniqueId val="{00000000-CF0F-D64E-BAF8-E133B51BA84B}"/>
            </c:ext>
          </c:extLst>
        </c:ser>
        <c:ser>
          <c:idx val="1"/>
          <c:order val="1"/>
          <c:tx>
            <c:strRef>
              <c:f>'Earnings per share'!$J$15:$K$15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'Earnings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'Earnings per share'!$L$24:$AJ$24</c:f>
              <c:numCache>
                <c:formatCode>0.000_);[Red]\(0.000\)</c:formatCode>
                <c:ptCount val="25"/>
                <c:pt idx="0" formatCode="General">
                  <c:v>0</c:v>
                </c:pt>
                <c:pt idx="1">
                  <c:v>-7.6695924544337157E-2</c:v>
                </c:pt>
                <c:pt idx="2">
                  <c:v>-8.3400819275740751E-2</c:v>
                </c:pt>
                <c:pt idx="3">
                  <c:v>-0.12141213497328673</c:v>
                </c:pt>
                <c:pt idx="4">
                  <c:v>-0.14660441890766129</c:v>
                </c:pt>
                <c:pt idx="5">
                  <c:v>-0.20328604787943613</c:v>
                </c:pt>
                <c:pt idx="6">
                  <c:v>-0.22171962723704675</c:v>
                </c:pt>
                <c:pt idx="7">
                  <c:v>-0.22995516425113799</c:v>
                </c:pt>
                <c:pt idx="8">
                  <c:v>-0.16362881222288744</c:v>
                </c:pt>
                <c:pt idx="9">
                  <c:v>-8.0209286751964814E-2</c:v>
                </c:pt>
                <c:pt idx="10">
                  <c:v>-2.2827881690748023E-2</c:v>
                </c:pt>
                <c:pt idx="11">
                  <c:v>6.0677007920389853E-2</c:v>
                </c:pt>
                <c:pt idx="12">
                  <c:v>-9.0388029182158713E-2</c:v>
                </c:pt>
                <c:pt idx="13">
                  <c:v>-0.19093197188935884</c:v>
                </c:pt>
                <c:pt idx="14">
                  <c:v>-9.4964517432777174E-2</c:v>
                </c:pt>
                <c:pt idx="15">
                  <c:v>-0.24698181270480754</c:v>
                </c:pt>
                <c:pt idx="16">
                  <c:v>-0.24854139586980706</c:v>
                </c:pt>
                <c:pt idx="17">
                  <c:v>-0.28775631004073854</c:v>
                </c:pt>
                <c:pt idx="18">
                  <c:v>-0.28889953018505005</c:v>
                </c:pt>
                <c:pt idx="19">
                  <c:v>-0.36516961020619582</c:v>
                </c:pt>
                <c:pt idx="20">
                  <c:v>-0.31305452379124621</c:v>
                </c:pt>
                <c:pt idx="21">
                  <c:v>-0.22682142917716078</c:v>
                </c:pt>
                <c:pt idx="22">
                  <c:v>-0.22311221512817395</c:v>
                </c:pt>
                <c:pt idx="23">
                  <c:v>-0.2063622331056317</c:v>
                </c:pt>
                <c:pt idx="24">
                  <c:v>-0.33200332755680922</c:v>
                </c:pt>
              </c:numCache>
            </c:numRef>
          </c:val>
          <c:smooth val="0"/>
          <c:extLst>
            <c:ext xmlns:c16="http://schemas.microsoft.com/office/drawing/2014/chart" uri="{C3380CC4-5D6E-409C-BE32-E72D297353CC}">
              <c16:uniqueId val="{00000001-CF0F-D64E-BAF8-E133B51BA84B}"/>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3000" b="1" i="0" u="none" strike="noStrike">
                <a:effectLst/>
              </a:rPr>
              <a:t>Earnings per share</a:t>
            </a:r>
            <a:r>
              <a:rPr lang="ko-KR" altLang="ko-KR" sz="3000">
                <a:effectLst/>
              </a:rPr>
              <a:t>  </a:t>
            </a:r>
          </a:p>
        </c:rich>
      </c:tx>
      <c:overlay val="0"/>
      <c:spPr>
        <a:noFill/>
        <a:ln>
          <a:noFill/>
        </a:ln>
        <a:effectLst/>
      </c:spPr>
    </c:title>
    <c:autoTitleDeleted val="0"/>
    <c:plotArea>
      <c:layout>
        <c:manualLayout>
          <c:layoutTarget val="inner"/>
          <c:xMode val="edge"/>
          <c:yMode val="edge"/>
          <c:x val="7.8403322334780229E-2"/>
          <c:y val="0.12736638139512574"/>
          <c:w val="0.73197923430302936"/>
          <c:h val="0.73600796748814845"/>
        </c:manualLayout>
      </c:layout>
      <c:lineChart>
        <c:grouping val="standard"/>
        <c:varyColors val="0"/>
        <c:ser>
          <c:idx val="0"/>
          <c:order val="0"/>
          <c:tx>
            <c:strRef>
              <c:f>'Earnings per share'!$J$2:$K$2</c:f>
              <c:strCache>
                <c:ptCount val="2"/>
                <c:pt idx="0">
                  <c:v>GOOD</c:v>
                </c:pt>
              </c:strCache>
            </c:strRef>
          </c:tx>
          <c:spPr>
            <a:ln w="28575" cap="rnd" cmpd="sng">
              <a:solidFill>
                <a:srgbClr val="FF0000"/>
              </a:solidFill>
              <a:round/>
            </a:ln>
            <a:effectLst/>
          </c:spPr>
          <c:marker>
            <c:symbol val="none"/>
          </c:marker>
          <c:cat>
            <c:strRef>
              <c:f>'Earnings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'Earnings per share'!$L$11:$AJ$11</c:f>
              <c:numCache>
                <c:formatCode>0.000_);[Red]\(0.000\)</c:formatCode>
                <c:ptCount val="25"/>
                <c:pt idx="0" formatCode="General">
                  <c:v>0</c:v>
                </c:pt>
                <c:pt idx="1">
                  <c:v>-7.7788841191284708E-3</c:v>
                </c:pt>
                <c:pt idx="2">
                  <c:v>3.7262653806655999E-2</c:v>
                </c:pt>
                <c:pt idx="3">
                  <c:v>3.523658695020998E-2</c:v>
                </c:pt>
                <c:pt idx="4">
                  <c:v>4.7256376599960209E-2</c:v>
                </c:pt>
                <c:pt idx="5">
                  <c:v>5.7518964582046014E-2</c:v>
                </c:pt>
                <c:pt idx="6">
                  <c:v>1.3478142007737323E-2</c:v>
                </c:pt>
                <c:pt idx="7">
                  <c:v>5.4881392067967494E-2</c:v>
                </c:pt>
                <c:pt idx="8">
                  <c:v>0.20089883292269264</c:v>
                </c:pt>
                <c:pt idx="9">
                  <c:v>0.22219857377982685</c:v>
                </c:pt>
                <c:pt idx="10">
                  <c:v>0.26391231163298401</c:v>
                </c:pt>
                <c:pt idx="11">
                  <c:v>0.24833566412253122</c:v>
                </c:pt>
                <c:pt idx="12">
                  <c:v>0.12401917626720618</c:v>
                </c:pt>
                <c:pt idx="13">
                  <c:v>0.14931189794821356</c:v>
                </c:pt>
                <c:pt idx="14">
                  <c:v>0.28188661964561484</c:v>
                </c:pt>
                <c:pt idx="15">
                  <c:v>0.14496589385634387</c:v>
                </c:pt>
                <c:pt idx="16">
                  <c:v>0.1401687217800314</c:v>
                </c:pt>
                <c:pt idx="17">
                  <c:v>0.1673389663786542</c:v>
                </c:pt>
                <c:pt idx="18">
                  <c:v>0.18317846616499556</c:v>
                </c:pt>
                <c:pt idx="19">
                  <c:v>0.26155517372273968</c:v>
                </c:pt>
                <c:pt idx="20">
                  <c:v>0.43610916616578788</c:v>
                </c:pt>
                <c:pt idx="21">
                  <c:v>0.49320235990800082</c:v>
                </c:pt>
                <c:pt idx="22">
                  <c:v>0.49974234066139078</c:v>
                </c:pt>
                <c:pt idx="23">
                  <c:v>0.43155268422991172</c:v>
                </c:pt>
                <c:pt idx="24">
                  <c:v>0.23182666996995324</c:v>
                </c:pt>
              </c:numCache>
            </c:numRef>
          </c:val>
          <c:smooth val="0"/>
          <c:extLst>
            <c:ext xmlns:c16="http://schemas.microsoft.com/office/drawing/2014/chart" uri="{C3380CC4-5D6E-409C-BE32-E72D297353CC}">
              <c16:uniqueId val="{00000000-BCBC-BA40-904B-118FCC53A468}"/>
            </c:ext>
          </c:extLst>
        </c:ser>
        <c:ser>
          <c:idx val="1"/>
          <c:order val="1"/>
          <c:tx>
            <c:strRef>
              <c:f>'Earnings per share'!$J$15:$K$15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'Earnings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'Earnings per share'!$L$24:$AJ$24</c:f>
              <c:numCache>
                <c:formatCode>0.000_);[Red]\(0.000\)</c:formatCode>
                <c:ptCount val="25"/>
                <c:pt idx="0" formatCode="General">
                  <c:v>0</c:v>
                </c:pt>
                <c:pt idx="1">
                  <c:v>-7.6695924544337157E-2</c:v>
                </c:pt>
                <c:pt idx="2">
                  <c:v>-8.3400819275740751E-2</c:v>
                </c:pt>
                <c:pt idx="3">
                  <c:v>-0.12141213497328673</c:v>
                </c:pt>
                <c:pt idx="4">
                  <c:v>-0.14660441890766129</c:v>
                </c:pt>
                <c:pt idx="5">
                  <c:v>-0.20328604787943613</c:v>
                </c:pt>
                <c:pt idx="6">
                  <c:v>-0.22171962723704675</c:v>
                </c:pt>
                <c:pt idx="7">
                  <c:v>-0.22995516425113799</c:v>
                </c:pt>
                <c:pt idx="8">
                  <c:v>-0.16362881222288744</c:v>
                </c:pt>
                <c:pt idx="9">
                  <c:v>-8.0209286751964814E-2</c:v>
                </c:pt>
                <c:pt idx="10">
                  <c:v>-2.2827881690748023E-2</c:v>
                </c:pt>
                <c:pt idx="11">
                  <c:v>6.0677007920389853E-2</c:v>
                </c:pt>
                <c:pt idx="12">
                  <c:v>-9.0388029182158713E-2</c:v>
                </c:pt>
                <c:pt idx="13">
                  <c:v>-0.19093197188935884</c:v>
                </c:pt>
                <c:pt idx="14">
                  <c:v>-9.4964517432777174E-2</c:v>
                </c:pt>
                <c:pt idx="15">
                  <c:v>-0.24698181270480754</c:v>
                </c:pt>
                <c:pt idx="16">
                  <c:v>-0.24854139586980706</c:v>
                </c:pt>
                <c:pt idx="17">
                  <c:v>-0.28775631004073854</c:v>
                </c:pt>
                <c:pt idx="18">
                  <c:v>-0.28889953018505005</c:v>
                </c:pt>
                <c:pt idx="19">
                  <c:v>-0.36516961020619582</c:v>
                </c:pt>
                <c:pt idx="20">
                  <c:v>-0.31305452379124621</c:v>
                </c:pt>
                <c:pt idx="21">
                  <c:v>-0.22682142917716078</c:v>
                </c:pt>
                <c:pt idx="22">
                  <c:v>-0.22311221512817395</c:v>
                </c:pt>
                <c:pt idx="23">
                  <c:v>-0.2063622331056317</c:v>
                </c:pt>
                <c:pt idx="24">
                  <c:v>-0.33200332755680922</c:v>
                </c:pt>
              </c:numCache>
            </c:numRef>
          </c:val>
          <c:smooth val="0"/>
          <c:extLst>
            <c:ext xmlns:c16="http://schemas.microsoft.com/office/drawing/2014/chart" uri="{C3380CC4-5D6E-409C-BE32-E72D297353CC}">
              <c16:uniqueId val="{00000001-BCBC-BA40-904B-118FCC53A468}"/>
            </c:ext>
          </c:extLst>
        </c:ser>
        <c:ser>
          <c:idx val="2"/>
          <c:order val="2"/>
          <c:tx>
            <c:strRef>
              <c:f>'Earnings per share'!$J$68:$K$68</c:f>
              <c:strCache>
                <c:ptCount val="2"/>
                <c:pt idx="0">
                  <c:v>Industry average</c:v>
                </c:pt>
              </c:strCache>
            </c:strRef>
          </c:tx>
          <c:spPr>
            <a:ln w="28575">
              <a:solidFill>
                <a:schemeClr val="accent6"/>
              </a:solidFill>
            </a:ln>
          </c:spPr>
          <c:marker>
            <c:symbol val="none"/>
          </c:marker>
          <c:cat>
            <c:strRef>
              <c:f>'Earnings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'Earnings per share'!$L$73:$AJ$73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BCBC-BA40-904B-118FCC53A468}"/>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1269183259721522"/>
          <c:y val="0.11341808869399997"/>
          <c:w val="0.18595566805320923"/>
          <c:h val="0.15617917344536336"/>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3000" b="1" i="0" u="none" strike="noStrike">
                <a:effectLst/>
              </a:rPr>
              <a:t>Price-earnings ratio</a:t>
            </a:r>
            <a:r>
              <a:rPr lang="ko-KR" altLang="ko-KR" sz="3000">
                <a:effectLst/>
              </a:rPr>
              <a:t> </a:t>
            </a:r>
          </a:p>
        </c:rich>
      </c:tx>
      <c:overlay val="0"/>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'Price-earnings ratio'!$J$2:$K$2</c:f>
              <c:strCache>
                <c:ptCount val="2"/>
                <c:pt idx="0">
                  <c:v>GOOD</c:v>
                </c:pt>
              </c:strCache>
            </c:strRef>
          </c:tx>
          <c:spPr>
            <a:ln w="28575" cap="rnd" cmpd="sng">
              <a:solidFill>
                <a:srgbClr val="FF0000"/>
              </a:solidFill>
              <a:round/>
            </a:ln>
            <a:effectLst/>
          </c:spPr>
          <c:marker>
            <c:symbol val="none"/>
          </c:marker>
          <c:cat>
            <c:strRef>
              <c:f>'Price-earnings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'Price-earnings ratio'!$L$11:$AJ$11</c:f>
              <c:numCache>
                <c:formatCode>0.000_);[Red]\(0.000\)</c:formatCode>
                <c:ptCount val="25"/>
                <c:pt idx="0" formatCode="General">
                  <c:v>0</c:v>
                </c:pt>
                <c:pt idx="1">
                  <c:v>-3.8602374123295473E-2</c:v>
                </c:pt>
                <c:pt idx="2">
                  <c:v>1.7022778597893945E-3</c:v>
                </c:pt>
                <c:pt idx="3">
                  <c:v>-1.4086591895483391E-2</c:v>
                </c:pt>
                <c:pt idx="4">
                  <c:v>-1.4106175772634247E-2</c:v>
                </c:pt>
                <c:pt idx="5">
                  <c:v>-6.0646686246449616E-2</c:v>
                </c:pt>
                <c:pt idx="6">
                  <c:v>-0.1045010836070917</c:v>
                </c:pt>
                <c:pt idx="7">
                  <c:v>-0.10983193421228679</c:v>
                </c:pt>
                <c:pt idx="8">
                  <c:v>-1.5916538354831325E-2</c:v>
                </c:pt>
                <c:pt idx="9">
                  <c:v>5.3133395711920633E-2</c:v>
                </c:pt>
                <c:pt idx="10">
                  <c:v>9.8056700394192786E-2</c:v>
                </c:pt>
                <c:pt idx="11">
                  <c:v>8.6652307758195865E-2</c:v>
                </c:pt>
                <c:pt idx="12">
                  <c:v>-3.2878681341340574E-2</c:v>
                </c:pt>
                <c:pt idx="13">
                  <c:v>-0.10261110151772321</c:v>
                </c:pt>
                <c:pt idx="14">
                  <c:v>2.985655549044483E-2</c:v>
                </c:pt>
                <c:pt idx="15">
                  <c:v>-2.9498350741228363E-2</c:v>
                </c:pt>
                <c:pt idx="16">
                  <c:v>-3.6583145336699319E-2</c:v>
                </c:pt>
                <c:pt idx="17">
                  <c:v>-4.2058151072128236E-2</c:v>
                </c:pt>
                <c:pt idx="18">
                  <c:v>-7.9336921683474393E-2</c:v>
                </c:pt>
                <c:pt idx="19">
                  <c:v>-0.13140931775117201</c:v>
                </c:pt>
                <c:pt idx="20">
                  <c:v>-1.3217224517671747E-2</c:v>
                </c:pt>
                <c:pt idx="21">
                  <c:v>0.15194443646072955</c:v>
                </c:pt>
                <c:pt idx="22">
                  <c:v>0.24123511008288337</c:v>
                </c:pt>
                <c:pt idx="23">
                  <c:v>0.22611442642235283</c:v>
                </c:pt>
                <c:pt idx="24">
                  <c:v>-2.8494202485930726E-2</c:v>
                </c:pt>
              </c:numCache>
            </c:numRef>
          </c:val>
          <c:smooth val="0"/>
          <c:extLst>
            <c:ext xmlns:c16="http://schemas.microsoft.com/office/drawing/2014/chart" uri="{C3380CC4-5D6E-409C-BE32-E72D297353CC}">
              <c16:uniqueId val="{00000000-D0B1-C94B-B0A5-C3E9B6646457}"/>
            </c:ext>
          </c:extLst>
        </c:ser>
        <c:ser>
          <c:idx val="1"/>
          <c:order val="1"/>
          <c:tx>
            <c:strRef>
              <c:f>'Price-earnings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'Price-earnings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'Price-earnings ratio'!$L$24:$AJ$24</c:f>
              <c:numCache>
                <c:formatCode>0.000_);[Red]\(0.000\)</c:formatCode>
                <c:ptCount val="25"/>
                <c:pt idx="0" formatCode="General">
                  <c:v>0</c:v>
                </c:pt>
                <c:pt idx="1">
                  <c:v>-0.14066806921099734</c:v>
                </c:pt>
                <c:pt idx="2">
                  <c:v>-0.12582197749045976</c:v>
                </c:pt>
                <c:pt idx="3">
                  <c:v>-0.13040476794901582</c:v>
                </c:pt>
                <c:pt idx="4">
                  <c:v>-0.10944297622540707</c:v>
                </c:pt>
                <c:pt idx="5">
                  <c:v>-0.17920070997012216</c:v>
                </c:pt>
                <c:pt idx="6">
                  <c:v>-0.22944413902747679</c:v>
                </c:pt>
                <c:pt idx="7">
                  <c:v>-0.23137241190468527</c:v>
                </c:pt>
                <c:pt idx="8">
                  <c:v>-0.17113852692763776</c:v>
                </c:pt>
                <c:pt idx="9">
                  <c:v>-0.10149671790197226</c:v>
                </c:pt>
                <c:pt idx="10">
                  <c:v>-5.9705727712783818E-2</c:v>
                </c:pt>
                <c:pt idx="11">
                  <c:v>1.0267765333800416E-2</c:v>
                </c:pt>
                <c:pt idx="12">
                  <c:v>-0.14129534795424986</c:v>
                </c:pt>
                <c:pt idx="13">
                  <c:v>-0.23805521887230835</c:v>
                </c:pt>
                <c:pt idx="14">
                  <c:v>-0.17628448818593151</c:v>
                </c:pt>
                <c:pt idx="15">
                  <c:v>-0.36705658860393076</c:v>
                </c:pt>
                <c:pt idx="16">
                  <c:v>-0.37332975585133354</c:v>
                </c:pt>
                <c:pt idx="17">
                  <c:v>-0.4429685760728434</c:v>
                </c:pt>
                <c:pt idx="18">
                  <c:v>-0.43547711991673504</c:v>
                </c:pt>
                <c:pt idx="19">
                  <c:v>-0.50107379608698632</c:v>
                </c:pt>
                <c:pt idx="20">
                  <c:v>-0.46142332281477366</c:v>
                </c:pt>
                <c:pt idx="21">
                  <c:v>-0.35844212633309391</c:v>
                </c:pt>
                <c:pt idx="22">
                  <c:v>-0.37099381304008139</c:v>
                </c:pt>
                <c:pt idx="23">
                  <c:v>-0.33876789817710612</c:v>
                </c:pt>
                <c:pt idx="24">
                  <c:v>-0.44229715107019124</c:v>
                </c:pt>
              </c:numCache>
            </c:numRef>
          </c:val>
          <c:smooth val="0"/>
          <c:extLst>
            <c:ext xmlns:c16="http://schemas.microsoft.com/office/drawing/2014/chart" uri="{C3380CC4-5D6E-409C-BE32-E72D297353CC}">
              <c16:uniqueId val="{00000001-D0B1-C94B-B0A5-C3E9B6646457}"/>
            </c:ext>
          </c:extLst>
        </c:ser>
        <c:ser>
          <c:idx val="2"/>
          <c:order val="2"/>
          <c:tx>
            <c:strRef>
              <c:f>'Price-earnings ratio'!$J$26:$K$26</c:f>
              <c:strCache>
                <c:ptCount val="2"/>
                <c:pt idx="0">
                  <c:v>S&amp;P 500</c:v>
                </c:pt>
              </c:strCache>
            </c:strRef>
          </c:tx>
          <c:spPr>
            <a:ln w="28575">
              <a:solidFill>
                <a:schemeClr val="accent4"/>
              </a:solidFill>
            </a:ln>
          </c:spPr>
          <c:marker>
            <c:symbol val="none"/>
          </c:marker>
          <c:cat>
            <c:strRef>
              <c:f>'Price-earnings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'Price-earnings ratio'!$L$31:$AJ$31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D0B1-C94B-B0A5-C3E9B6646457}"/>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Price-earnings ratio</a:t>
            </a:r>
            <a:r>
              <a:rPr lang="ko-KR" altLang="ko-KR" sz="3000">
                <a:effectLst/>
              </a:rPr>
              <a:t> </a:t>
            </a:r>
          </a:p>
        </c:rich>
      </c:tx>
      <c:overlay val="0"/>
      <c:spPr>
        <a:noFill/>
        <a:ln>
          <a:noFill/>
        </a:ln>
        <a:effectLst/>
      </c:spPr>
    </c:title>
    <c:autoTitleDeleted val="0"/>
    <c:plotArea>
      <c:layout>
        <c:manualLayout>
          <c:layoutTarget val="inner"/>
          <c:xMode val="edge"/>
          <c:yMode val="edge"/>
          <c:x val="0.1382274875548882"/>
          <c:y val="0.12736638139512574"/>
          <c:w val="0.73197923430302936"/>
          <c:h val="0.73600796748814845"/>
        </c:manualLayout>
      </c:layout>
      <c:lineChart>
        <c:grouping val="standard"/>
        <c:varyColors val="0"/>
        <c:ser>
          <c:idx val="0"/>
          <c:order val="0"/>
          <c:tx>
            <c:strRef>
              <c:f>'Price-earnings ratio'!$J$2:$K$2</c:f>
              <c:strCache>
                <c:ptCount val="2"/>
                <c:pt idx="0">
                  <c:v>GOOD</c:v>
                </c:pt>
              </c:strCache>
            </c:strRef>
          </c:tx>
          <c:spPr>
            <a:ln w="28575" cap="rnd" cmpd="sng">
              <a:solidFill>
                <a:srgbClr val="FF0000"/>
              </a:solidFill>
              <a:round/>
            </a:ln>
            <a:effectLst/>
          </c:spPr>
          <c:marker>
            <c:symbol val="none"/>
          </c:marker>
          <c:cat>
            <c:strRef>
              <c:f>'Price-earnings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'Price-earnings ratio'!$L$11:$AJ$11</c:f>
              <c:numCache>
                <c:formatCode>0.000_);[Red]\(0.000\)</c:formatCode>
                <c:ptCount val="25"/>
                <c:pt idx="0" formatCode="General">
                  <c:v>0</c:v>
                </c:pt>
                <c:pt idx="1">
                  <c:v>-3.8602374123295473E-2</c:v>
                </c:pt>
                <c:pt idx="2">
                  <c:v>1.7022778597893945E-3</c:v>
                </c:pt>
                <c:pt idx="3">
                  <c:v>-1.4086591895483391E-2</c:v>
                </c:pt>
                <c:pt idx="4">
                  <c:v>-1.4106175772634247E-2</c:v>
                </c:pt>
                <c:pt idx="5">
                  <c:v>-6.0646686246449616E-2</c:v>
                </c:pt>
                <c:pt idx="6">
                  <c:v>-0.1045010836070917</c:v>
                </c:pt>
                <c:pt idx="7">
                  <c:v>-0.10983193421228679</c:v>
                </c:pt>
                <c:pt idx="8">
                  <c:v>-1.5916538354831325E-2</c:v>
                </c:pt>
                <c:pt idx="9">
                  <c:v>5.3133395711920633E-2</c:v>
                </c:pt>
                <c:pt idx="10">
                  <c:v>9.8056700394192786E-2</c:v>
                </c:pt>
                <c:pt idx="11">
                  <c:v>8.6652307758195865E-2</c:v>
                </c:pt>
                <c:pt idx="12">
                  <c:v>-3.2878681341340574E-2</c:v>
                </c:pt>
                <c:pt idx="13">
                  <c:v>-0.10261110151772321</c:v>
                </c:pt>
                <c:pt idx="14">
                  <c:v>2.985655549044483E-2</c:v>
                </c:pt>
                <c:pt idx="15">
                  <c:v>-2.9498350741228363E-2</c:v>
                </c:pt>
                <c:pt idx="16">
                  <c:v>-3.6583145336699319E-2</c:v>
                </c:pt>
                <c:pt idx="17">
                  <c:v>-4.2058151072128236E-2</c:v>
                </c:pt>
                <c:pt idx="18">
                  <c:v>-7.9336921683474393E-2</c:v>
                </c:pt>
                <c:pt idx="19">
                  <c:v>-0.13140931775117201</c:v>
                </c:pt>
                <c:pt idx="20">
                  <c:v>-1.3217224517671747E-2</c:v>
                </c:pt>
                <c:pt idx="21">
                  <c:v>0.15194443646072955</c:v>
                </c:pt>
                <c:pt idx="22">
                  <c:v>0.24123511008288337</c:v>
                </c:pt>
                <c:pt idx="23">
                  <c:v>0.22611442642235283</c:v>
                </c:pt>
                <c:pt idx="24">
                  <c:v>-2.8494202485930726E-2</c:v>
                </c:pt>
              </c:numCache>
            </c:numRef>
          </c:val>
          <c:smooth val="0"/>
          <c:extLst>
            <c:ext xmlns:c16="http://schemas.microsoft.com/office/drawing/2014/chart" uri="{C3380CC4-5D6E-409C-BE32-E72D297353CC}">
              <c16:uniqueId val="{00000000-BEC1-F949-9E33-4100660B11B5}"/>
            </c:ext>
          </c:extLst>
        </c:ser>
        <c:ser>
          <c:idx val="1"/>
          <c:order val="1"/>
          <c:tx>
            <c:strRef>
              <c:f>'Price-earnings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'Price-earnings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'Price-earnings ratio'!$L$24:$AJ$24</c:f>
              <c:numCache>
                <c:formatCode>0.000_);[Red]\(0.000\)</c:formatCode>
                <c:ptCount val="25"/>
                <c:pt idx="0" formatCode="General">
                  <c:v>0</c:v>
                </c:pt>
                <c:pt idx="1">
                  <c:v>-0.14066806921099734</c:v>
                </c:pt>
                <c:pt idx="2">
                  <c:v>-0.12582197749045976</c:v>
                </c:pt>
                <c:pt idx="3">
                  <c:v>-0.13040476794901582</c:v>
                </c:pt>
                <c:pt idx="4">
                  <c:v>-0.10944297622540707</c:v>
                </c:pt>
                <c:pt idx="5">
                  <c:v>-0.17920070997012216</c:v>
                </c:pt>
                <c:pt idx="6">
                  <c:v>-0.22944413902747679</c:v>
                </c:pt>
                <c:pt idx="7">
                  <c:v>-0.23137241190468527</c:v>
                </c:pt>
                <c:pt idx="8">
                  <c:v>-0.17113852692763776</c:v>
                </c:pt>
                <c:pt idx="9">
                  <c:v>-0.10149671790197226</c:v>
                </c:pt>
                <c:pt idx="10">
                  <c:v>-5.9705727712783818E-2</c:v>
                </c:pt>
                <c:pt idx="11">
                  <c:v>1.0267765333800416E-2</c:v>
                </c:pt>
                <c:pt idx="12">
                  <c:v>-0.14129534795424986</c:v>
                </c:pt>
                <c:pt idx="13">
                  <c:v>-0.23805521887230835</c:v>
                </c:pt>
                <c:pt idx="14">
                  <c:v>-0.17628448818593151</c:v>
                </c:pt>
                <c:pt idx="15">
                  <c:v>-0.36705658860393076</c:v>
                </c:pt>
                <c:pt idx="16">
                  <c:v>-0.37332975585133354</c:v>
                </c:pt>
                <c:pt idx="17">
                  <c:v>-0.4429685760728434</c:v>
                </c:pt>
                <c:pt idx="18">
                  <c:v>-0.43547711991673504</c:v>
                </c:pt>
                <c:pt idx="19">
                  <c:v>-0.50107379608698632</c:v>
                </c:pt>
                <c:pt idx="20">
                  <c:v>-0.46142332281477366</c:v>
                </c:pt>
                <c:pt idx="21">
                  <c:v>-0.35844212633309391</c:v>
                </c:pt>
                <c:pt idx="22">
                  <c:v>-0.37099381304008139</c:v>
                </c:pt>
                <c:pt idx="23">
                  <c:v>-0.33876789817710612</c:v>
                </c:pt>
                <c:pt idx="24">
                  <c:v>-0.44229715107019124</c:v>
                </c:pt>
              </c:numCache>
            </c:numRef>
          </c:val>
          <c:smooth val="0"/>
          <c:extLst>
            <c:ext xmlns:c16="http://schemas.microsoft.com/office/drawing/2014/chart" uri="{C3380CC4-5D6E-409C-BE32-E72D297353CC}">
              <c16:uniqueId val="{00000001-BEC1-F949-9E33-4100660B11B5}"/>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3000" b="1" i="0" u="none" strike="noStrike">
                <a:effectLst/>
              </a:rPr>
              <a:t>Price-earnings ratio</a:t>
            </a:r>
            <a:r>
              <a:rPr lang="ko-KR" altLang="ko-KR" sz="3000">
                <a:effectLst/>
              </a:rPr>
              <a:t> </a:t>
            </a:r>
          </a:p>
        </c:rich>
      </c:tx>
      <c:overlay val="0"/>
      <c:spPr>
        <a:noFill/>
        <a:ln>
          <a:noFill/>
        </a:ln>
        <a:effectLst/>
      </c:spPr>
    </c:title>
    <c:autoTitleDeleted val="0"/>
    <c:plotArea>
      <c:layout>
        <c:manualLayout>
          <c:layoutTarget val="inner"/>
          <c:xMode val="edge"/>
          <c:yMode val="edge"/>
          <c:x val="6.5357844293998782E-2"/>
          <c:y val="0.1294816012514107"/>
          <c:w val="0.73197923430302936"/>
          <c:h val="0.73600796748814845"/>
        </c:manualLayout>
      </c:layout>
      <c:lineChart>
        <c:grouping val="standard"/>
        <c:varyColors val="0"/>
        <c:ser>
          <c:idx val="0"/>
          <c:order val="0"/>
          <c:tx>
            <c:strRef>
              <c:f>'Price-earnings ratio'!$J$2:$K$2</c:f>
              <c:strCache>
                <c:ptCount val="2"/>
                <c:pt idx="0">
                  <c:v>GOOD</c:v>
                </c:pt>
              </c:strCache>
            </c:strRef>
          </c:tx>
          <c:spPr>
            <a:ln w="28575" cap="rnd" cmpd="sng">
              <a:solidFill>
                <a:srgbClr val="FF0000"/>
              </a:solidFill>
              <a:round/>
            </a:ln>
            <a:effectLst/>
          </c:spPr>
          <c:marker>
            <c:symbol val="none"/>
          </c:marker>
          <c:cat>
            <c:strRef>
              <c:f>'Price-earnings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'Price-earnings ratio'!$L$11:$AJ$11</c:f>
              <c:numCache>
                <c:formatCode>0.000_);[Red]\(0.000\)</c:formatCode>
                <c:ptCount val="25"/>
                <c:pt idx="0" formatCode="General">
                  <c:v>0</c:v>
                </c:pt>
                <c:pt idx="1">
                  <c:v>-3.8602374123295473E-2</c:v>
                </c:pt>
                <c:pt idx="2">
                  <c:v>1.7022778597893945E-3</c:v>
                </c:pt>
                <c:pt idx="3">
                  <c:v>-1.4086591895483391E-2</c:v>
                </c:pt>
                <c:pt idx="4">
                  <c:v>-1.4106175772634247E-2</c:v>
                </c:pt>
                <c:pt idx="5">
                  <c:v>-6.0646686246449616E-2</c:v>
                </c:pt>
                <c:pt idx="6">
                  <c:v>-0.1045010836070917</c:v>
                </c:pt>
                <c:pt idx="7">
                  <c:v>-0.10983193421228679</c:v>
                </c:pt>
                <c:pt idx="8">
                  <c:v>-1.5916538354831325E-2</c:v>
                </c:pt>
                <c:pt idx="9">
                  <c:v>5.3133395711920633E-2</c:v>
                </c:pt>
                <c:pt idx="10">
                  <c:v>9.8056700394192786E-2</c:v>
                </c:pt>
                <c:pt idx="11">
                  <c:v>8.6652307758195865E-2</c:v>
                </c:pt>
                <c:pt idx="12">
                  <c:v>-3.2878681341340574E-2</c:v>
                </c:pt>
                <c:pt idx="13">
                  <c:v>-0.10261110151772321</c:v>
                </c:pt>
                <c:pt idx="14">
                  <c:v>2.985655549044483E-2</c:v>
                </c:pt>
                <c:pt idx="15">
                  <c:v>-2.9498350741228363E-2</c:v>
                </c:pt>
                <c:pt idx="16">
                  <c:v>-3.6583145336699319E-2</c:v>
                </c:pt>
                <c:pt idx="17">
                  <c:v>-4.2058151072128236E-2</c:v>
                </c:pt>
                <c:pt idx="18">
                  <c:v>-7.9336921683474393E-2</c:v>
                </c:pt>
                <c:pt idx="19">
                  <c:v>-0.13140931775117201</c:v>
                </c:pt>
                <c:pt idx="20">
                  <c:v>-1.3217224517671747E-2</c:v>
                </c:pt>
                <c:pt idx="21">
                  <c:v>0.15194443646072955</c:v>
                </c:pt>
                <c:pt idx="22">
                  <c:v>0.24123511008288337</c:v>
                </c:pt>
                <c:pt idx="23">
                  <c:v>0.22611442642235283</c:v>
                </c:pt>
                <c:pt idx="24">
                  <c:v>-2.8494202485930726E-2</c:v>
                </c:pt>
              </c:numCache>
            </c:numRef>
          </c:val>
          <c:smooth val="0"/>
          <c:extLst>
            <c:ext xmlns:c16="http://schemas.microsoft.com/office/drawing/2014/chart" uri="{C3380CC4-5D6E-409C-BE32-E72D297353CC}">
              <c16:uniqueId val="{00000000-B3D0-2F47-BABB-F4CB10FBBA79}"/>
            </c:ext>
          </c:extLst>
        </c:ser>
        <c:ser>
          <c:idx val="1"/>
          <c:order val="1"/>
          <c:tx>
            <c:strRef>
              <c:f>'Price-earnings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'Price-earnings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'Price-earnings ratio'!$L$24:$AJ$24</c:f>
              <c:numCache>
                <c:formatCode>0.000_);[Red]\(0.000\)</c:formatCode>
                <c:ptCount val="25"/>
                <c:pt idx="0" formatCode="General">
                  <c:v>0</c:v>
                </c:pt>
                <c:pt idx="1">
                  <c:v>-0.14066806921099734</c:v>
                </c:pt>
                <c:pt idx="2">
                  <c:v>-0.12582197749045976</c:v>
                </c:pt>
                <c:pt idx="3">
                  <c:v>-0.13040476794901582</c:v>
                </c:pt>
                <c:pt idx="4">
                  <c:v>-0.10944297622540707</c:v>
                </c:pt>
                <c:pt idx="5">
                  <c:v>-0.17920070997012216</c:v>
                </c:pt>
                <c:pt idx="6">
                  <c:v>-0.22944413902747679</c:v>
                </c:pt>
                <c:pt idx="7">
                  <c:v>-0.23137241190468527</c:v>
                </c:pt>
                <c:pt idx="8">
                  <c:v>-0.17113852692763776</c:v>
                </c:pt>
                <c:pt idx="9">
                  <c:v>-0.10149671790197226</c:v>
                </c:pt>
                <c:pt idx="10">
                  <c:v>-5.9705727712783818E-2</c:v>
                </c:pt>
                <c:pt idx="11">
                  <c:v>1.0267765333800416E-2</c:v>
                </c:pt>
                <c:pt idx="12">
                  <c:v>-0.14129534795424986</c:v>
                </c:pt>
                <c:pt idx="13">
                  <c:v>-0.23805521887230835</c:v>
                </c:pt>
                <c:pt idx="14">
                  <c:v>-0.17628448818593151</c:v>
                </c:pt>
                <c:pt idx="15">
                  <c:v>-0.36705658860393076</c:v>
                </c:pt>
                <c:pt idx="16">
                  <c:v>-0.37332975585133354</c:v>
                </c:pt>
                <c:pt idx="17">
                  <c:v>-0.4429685760728434</c:v>
                </c:pt>
                <c:pt idx="18">
                  <c:v>-0.43547711991673504</c:v>
                </c:pt>
                <c:pt idx="19">
                  <c:v>-0.50107379608698632</c:v>
                </c:pt>
                <c:pt idx="20">
                  <c:v>-0.46142332281477366</c:v>
                </c:pt>
                <c:pt idx="21">
                  <c:v>-0.35844212633309391</c:v>
                </c:pt>
                <c:pt idx="22">
                  <c:v>-0.37099381304008139</c:v>
                </c:pt>
                <c:pt idx="23">
                  <c:v>-0.33876789817710612</c:v>
                </c:pt>
                <c:pt idx="24">
                  <c:v>-0.44229715107019124</c:v>
                </c:pt>
              </c:numCache>
            </c:numRef>
          </c:val>
          <c:smooth val="0"/>
          <c:extLst>
            <c:ext xmlns:c16="http://schemas.microsoft.com/office/drawing/2014/chart" uri="{C3380CC4-5D6E-409C-BE32-E72D297353CC}">
              <c16:uniqueId val="{00000001-B3D0-2F47-BABB-F4CB10FBBA79}"/>
            </c:ext>
          </c:extLst>
        </c:ser>
        <c:ser>
          <c:idx val="2"/>
          <c:order val="2"/>
          <c:tx>
            <c:strRef>
              <c:f>'Price-earnings ratio'!$J$68:$K$68</c:f>
              <c:strCache>
                <c:ptCount val="2"/>
                <c:pt idx="0">
                  <c:v>Industry average</c:v>
                </c:pt>
              </c:strCache>
            </c:strRef>
          </c:tx>
          <c:spPr>
            <a:ln w="28575">
              <a:solidFill>
                <a:schemeClr val="accent6"/>
              </a:solidFill>
            </a:ln>
          </c:spPr>
          <c:marker>
            <c:symbol val="none"/>
          </c:marker>
          <c:cat>
            <c:strRef>
              <c:f>'Price-earnings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'Price-earnings ratio'!$L$73:$AJ$73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B3D0-2F47-BABB-F4CB10FBBA79}"/>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0556055913664459"/>
          <c:y val="0.13033984754427974"/>
          <c:w val="0.19443944086335538"/>
          <c:h val="0.14771829402022349"/>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Dividend payout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'Dividend payout ratio'!$J$2:$K$2</c:f>
              <c:strCache>
                <c:ptCount val="2"/>
                <c:pt idx="0">
                  <c:v>GOOD</c:v>
                </c:pt>
              </c:strCache>
            </c:strRef>
          </c:tx>
          <c:spPr>
            <a:ln w="28575" cap="rnd" cmpd="sng">
              <a:solidFill>
                <a:srgbClr val="FF0000"/>
              </a:solidFill>
              <a:round/>
            </a:ln>
            <a:effectLst/>
          </c:spPr>
          <c:marker>
            <c:symbol val="none"/>
          </c:marker>
          <c:cat>
            <c:strRef>
              <c:f>'Dividend payout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payout ratio'!$L$11:$AJ$11</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0-12D8-124E-88EB-77F0CBCBB5BE}"/>
            </c:ext>
          </c:extLst>
        </c:ser>
        <c:ser>
          <c:idx val="1"/>
          <c:order val="1"/>
          <c:tx>
            <c:strRef>
              <c:f>'Dividend payout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'Dividend payout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payout ratio'!$L$24:$AJ$24</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12D8-124E-88EB-77F0CBCBB5BE}"/>
            </c:ext>
          </c:extLst>
        </c:ser>
        <c:ser>
          <c:idx val="2"/>
          <c:order val="2"/>
          <c:tx>
            <c:strRef>
              <c:f>'Dividend payout ratio'!$J$26:$K$26</c:f>
              <c:strCache>
                <c:ptCount val="2"/>
                <c:pt idx="0">
                  <c:v>S&amp;P 500</c:v>
                </c:pt>
              </c:strCache>
            </c:strRef>
          </c:tx>
          <c:spPr>
            <a:ln w="28575">
              <a:solidFill>
                <a:schemeClr val="accent4"/>
              </a:solidFill>
            </a:ln>
          </c:spPr>
          <c:marker>
            <c:symbol val="none"/>
          </c:marker>
          <c:cat>
            <c:strRef>
              <c:f>'Dividend payout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payout ratio'!$L$31:$AJ$31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12D8-124E-88EB-77F0CBCBB5BE}"/>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Dividend payout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'Dividend payout ratio'!$J$2:$K$2</c:f>
              <c:strCache>
                <c:ptCount val="2"/>
                <c:pt idx="0">
                  <c:v>GOOD</c:v>
                </c:pt>
              </c:strCache>
            </c:strRef>
          </c:tx>
          <c:spPr>
            <a:ln w="28575" cap="rnd" cmpd="sng">
              <a:solidFill>
                <a:srgbClr val="FF0000"/>
              </a:solidFill>
              <a:round/>
            </a:ln>
            <a:effectLst/>
          </c:spPr>
          <c:marker>
            <c:symbol val="none"/>
          </c:marker>
          <c:cat>
            <c:strRef>
              <c:f>'Dividend payout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payout ratio'!$L$11:$AJ$11</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0-2435-A747-8A8D-05784FD9F1EB}"/>
            </c:ext>
          </c:extLst>
        </c:ser>
        <c:ser>
          <c:idx val="1"/>
          <c:order val="1"/>
          <c:tx>
            <c:strRef>
              <c:f>'Dividend payout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'Dividend payout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payout ratio'!$L$24:$AJ$24</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2435-A747-8A8D-05784FD9F1EB}"/>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Dividend payout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'Dividend payout ratio'!$J$2:$K$2</c:f>
              <c:strCache>
                <c:ptCount val="2"/>
                <c:pt idx="0">
                  <c:v>GOOD</c:v>
                </c:pt>
              </c:strCache>
            </c:strRef>
          </c:tx>
          <c:spPr>
            <a:ln w="28575" cap="rnd" cmpd="sng">
              <a:solidFill>
                <a:srgbClr val="FF0000"/>
              </a:solidFill>
              <a:round/>
            </a:ln>
            <a:effectLst/>
          </c:spPr>
          <c:marker>
            <c:symbol val="none"/>
          </c:marker>
          <c:cat>
            <c:strRef>
              <c:f>'Dividend payout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payout ratio'!$L$11:$AJ$11</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0-ECB3-8041-A25E-40AAA3E0A1CD}"/>
            </c:ext>
          </c:extLst>
        </c:ser>
        <c:ser>
          <c:idx val="1"/>
          <c:order val="1"/>
          <c:tx>
            <c:strRef>
              <c:f>'Dividend payout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'Dividend payout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payout ratio'!$L$24:$AJ$24</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ECB3-8041-A25E-40AAA3E0A1CD}"/>
            </c:ext>
          </c:extLst>
        </c:ser>
        <c:ser>
          <c:idx val="2"/>
          <c:order val="2"/>
          <c:tx>
            <c:strRef>
              <c:f>'Dividend payout ratio'!$J$68:$K$68</c:f>
              <c:strCache>
                <c:ptCount val="2"/>
                <c:pt idx="0">
                  <c:v>Market</c:v>
                </c:pt>
              </c:strCache>
            </c:strRef>
          </c:tx>
          <c:spPr>
            <a:ln w="28575">
              <a:solidFill>
                <a:schemeClr val="accent6"/>
              </a:solidFill>
            </a:ln>
          </c:spPr>
          <c:marker>
            <c:symbol val="none"/>
          </c:marker>
          <c:cat>
            <c:strRef>
              <c:f>'Dividend payout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payout ratio'!$L$73:$AJ$73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ECB3-8041-A25E-40AAA3E0A1CD}"/>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Dividend yield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'Dividend yield ratio'!$J$2:$K$2</c:f>
              <c:strCache>
                <c:ptCount val="2"/>
                <c:pt idx="0">
                  <c:v>GOOD</c:v>
                </c:pt>
              </c:strCache>
            </c:strRef>
          </c:tx>
          <c:spPr>
            <a:ln w="28575" cap="rnd" cmpd="sng">
              <a:solidFill>
                <a:srgbClr val="FF0000"/>
              </a:solidFill>
              <a:round/>
            </a:ln>
            <a:effectLst/>
          </c:spPr>
          <c:marker>
            <c:symbol val="none"/>
          </c:marker>
          <c:cat>
            <c:strRef>
              <c:f>'Dividend yield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yield ratio'!$L$11:$AJ$11</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0-C4D4-154D-8548-AA0074616B4D}"/>
            </c:ext>
          </c:extLst>
        </c:ser>
        <c:ser>
          <c:idx val="1"/>
          <c:order val="1"/>
          <c:tx>
            <c:strRef>
              <c:f>'Dividend yield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'Dividend yield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yield ratio'!$L$24:$AJ$24</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C4D4-154D-8548-AA0074616B4D}"/>
            </c:ext>
          </c:extLst>
        </c:ser>
        <c:ser>
          <c:idx val="2"/>
          <c:order val="2"/>
          <c:tx>
            <c:strRef>
              <c:f>'Dividend yield ratio'!$J$26:$K$26</c:f>
              <c:strCache>
                <c:ptCount val="2"/>
                <c:pt idx="0">
                  <c:v>S&amp;P 500</c:v>
                </c:pt>
              </c:strCache>
            </c:strRef>
          </c:tx>
          <c:spPr>
            <a:ln w="28575">
              <a:solidFill>
                <a:schemeClr val="accent4"/>
              </a:solidFill>
            </a:ln>
          </c:spPr>
          <c:marker>
            <c:symbol val="none"/>
          </c:marker>
          <c:cat>
            <c:strRef>
              <c:f>'Dividend yield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yield ratio'!$L$31:$AJ$31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C4D4-154D-8548-AA0074616B4D}"/>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1800" b="1" i="0" u="none" strike="noStrike">
                <a:effectLst/>
              </a:rPr>
              <a:t>Dividend yield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'Dividend yield ratio'!$J$2:$K$2</c:f>
              <c:strCache>
                <c:ptCount val="2"/>
                <c:pt idx="0">
                  <c:v>GOOD</c:v>
                </c:pt>
              </c:strCache>
            </c:strRef>
          </c:tx>
          <c:spPr>
            <a:ln w="28575" cap="rnd" cmpd="sng">
              <a:solidFill>
                <a:srgbClr val="FF0000"/>
              </a:solidFill>
              <a:round/>
            </a:ln>
            <a:effectLst/>
          </c:spPr>
          <c:marker>
            <c:symbol val="none"/>
          </c:marker>
          <c:cat>
            <c:strRef>
              <c:f>'Dividend yield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yield ratio'!$L$11:$AJ$11</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0-D2D7-C845-A436-A0CF771E746E}"/>
            </c:ext>
          </c:extLst>
        </c:ser>
        <c:ser>
          <c:idx val="1"/>
          <c:order val="1"/>
          <c:tx>
            <c:strRef>
              <c:f>'Dividend yield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'Dividend yield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yield ratio'!$L$24:$AJ$24</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D2D7-C845-A436-A0CF771E746E}"/>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b"/>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ayout>
        <c:manualLayout>
          <c:xMode val="edge"/>
          <c:yMode val="edge"/>
          <c:x val="0.73252303165403254"/>
          <c:y val="4.8848767066832138E-2"/>
          <c:w val="0.26747697640157764"/>
          <c:h val="5.4073242418947745E-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1800" b="1" i="0" u="none" strike="noStrike">
                <a:effectLst/>
              </a:rPr>
              <a:t>Dividend yield ratio</a:t>
            </a:r>
            <a:r>
              <a:rPr lang="ko-KR" altLang="ko-KR">
                <a:effectLst/>
              </a:rPr>
              <a:t> </a:t>
            </a:r>
          </a:p>
        </c:rich>
      </c:tx>
      <c:overlay val="1"/>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'Dividend yield ratio'!$J$2:$K$2</c:f>
              <c:strCache>
                <c:ptCount val="2"/>
                <c:pt idx="0">
                  <c:v>GOOD</c:v>
                </c:pt>
              </c:strCache>
            </c:strRef>
          </c:tx>
          <c:spPr>
            <a:ln w="28575" cap="rnd" cmpd="sng">
              <a:solidFill>
                <a:srgbClr val="FF0000"/>
              </a:solidFill>
              <a:round/>
            </a:ln>
            <a:effectLst/>
          </c:spPr>
          <c:marker>
            <c:symbol val="none"/>
          </c:marker>
          <c:cat>
            <c:strRef>
              <c:f>'Dividend yield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yield ratio'!$L$11:$AJ$11</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0-984E-8848-8B9A-88FCDE584730}"/>
            </c:ext>
          </c:extLst>
        </c:ser>
        <c:ser>
          <c:idx val="1"/>
          <c:order val="1"/>
          <c:tx>
            <c:strRef>
              <c:f>'Dividend yield ratio'!$J$15:$K$15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'Dividend yield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yield ratio'!$L$24:$AJ$24</c:f>
              <c:numCache>
                <c:formatCode>0.000_);[Red]\(0.000\)</c:formatCode>
                <c:ptCount val="25"/>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984E-8848-8B9A-88FCDE584730}"/>
            </c:ext>
          </c:extLst>
        </c:ser>
        <c:ser>
          <c:idx val="2"/>
          <c:order val="2"/>
          <c:tx>
            <c:strRef>
              <c:f>'Dividend yield ratio'!$J$68:$K$68</c:f>
              <c:strCache>
                <c:ptCount val="2"/>
                <c:pt idx="0">
                  <c:v>Market</c:v>
                </c:pt>
              </c:strCache>
            </c:strRef>
          </c:tx>
          <c:spPr>
            <a:ln w="28575">
              <a:solidFill>
                <a:schemeClr val="accent6"/>
              </a:solidFill>
            </a:ln>
          </c:spPr>
          <c:marker>
            <c:symbol val="none"/>
          </c:marker>
          <c:cat>
            <c:strRef>
              <c:f>'Dividend yield ratio'!$L$2:$AJ$2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'Dividend yield ratio'!$L$73:$AJ$73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984E-8848-8B9A-88FCDE584730}"/>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5523959985390408"/>
          <c:y val="2.0101616979757916E-2"/>
          <c:w val="0.11985544832590189"/>
          <c:h val="0.16221972725684322"/>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3000" b="1" i="0" u="none" strike="noStrike">
                <a:effectLst/>
              </a:rPr>
              <a:t>Book value per share</a:t>
            </a:r>
            <a:r>
              <a:rPr lang="ko-KR" altLang="ko-KR" sz="3000">
                <a:effectLst/>
              </a:rPr>
              <a:t> </a:t>
            </a:r>
          </a:p>
        </c:rich>
      </c:tx>
      <c:overlay val="0"/>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'Book value per share'!$J$2:$K$2</c:f>
              <c:strCache>
                <c:ptCount val="2"/>
                <c:pt idx="0">
                  <c:v>GOOD</c:v>
                </c:pt>
              </c:strCache>
            </c:strRef>
          </c:tx>
          <c:spPr>
            <a:ln w="28575" cap="rnd" cmpd="sng">
              <a:solidFill>
                <a:srgbClr val="FF0000"/>
              </a:solidFill>
              <a:round/>
            </a:ln>
            <a:effectLst/>
          </c:spPr>
          <c:marker>
            <c:symbol val="none"/>
          </c:marker>
          <c:cat>
            <c:strRef>
              <c:f>'Book value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'Book value per share'!$L$11:$AJ$11</c:f>
              <c:numCache>
                <c:formatCode>0.000_);[Red]\(0.000\)</c:formatCode>
                <c:ptCount val="25"/>
                <c:pt idx="0" formatCode="General">
                  <c:v>0</c:v>
                </c:pt>
                <c:pt idx="1">
                  <c:v>-3.8742346384902107E-2</c:v>
                </c:pt>
                <c:pt idx="2">
                  <c:v>-2.572519388880809E-2</c:v>
                </c:pt>
                <c:pt idx="3">
                  <c:v>-1.7645539303422622E-2</c:v>
                </c:pt>
                <c:pt idx="4">
                  <c:v>-1.460892435613885E-2</c:v>
                </c:pt>
                <c:pt idx="5">
                  <c:v>-6.8697888102141169E-2</c:v>
                </c:pt>
                <c:pt idx="6">
                  <c:v>-9.8250287720071217E-2</c:v>
                </c:pt>
                <c:pt idx="7">
                  <c:v>-9.1935641397585449E-2</c:v>
                </c:pt>
                <c:pt idx="8">
                  <c:v>3.0962072638655774E-2</c:v>
                </c:pt>
                <c:pt idx="9">
                  <c:v>0.13043796075103348</c:v>
                </c:pt>
                <c:pt idx="10">
                  <c:v>0.17657312963265209</c:v>
                </c:pt>
                <c:pt idx="11">
                  <c:v>0.16713255355589446</c:v>
                </c:pt>
                <c:pt idx="12">
                  <c:v>-1.3406018769873213E-2</c:v>
                </c:pt>
                <c:pt idx="13">
                  <c:v>-6.8778138019887192E-2</c:v>
                </c:pt>
                <c:pt idx="14">
                  <c:v>3.806482108668291E-2</c:v>
                </c:pt>
                <c:pt idx="15">
                  <c:v>-0.14809888924297146</c:v>
                </c:pt>
                <c:pt idx="16">
                  <c:v>-0.15818682434676321</c:v>
                </c:pt>
                <c:pt idx="17">
                  <c:v>-0.18221586666664413</c:v>
                </c:pt>
                <c:pt idx="18">
                  <c:v>-0.20225619149707086</c:v>
                </c:pt>
                <c:pt idx="19">
                  <c:v>-0.22716341569203205</c:v>
                </c:pt>
                <c:pt idx="20">
                  <c:v>-0.12196697886955189</c:v>
                </c:pt>
                <c:pt idx="21">
                  <c:v>1.7976310594238248E-2</c:v>
                </c:pt>
                <c:pt idx="22">
                  <c:v>6.3202369898516728E-2</c:v>
                </c:pt>
                <c:pt idx="23">
                  <c:v>3.6992864909995905E-2</c:v>
                </c:pt>
                <c:pt idx="24">
                  <c:v>-0.1810592913414415</c:v>
                </c:pt>
              </c:numCache>
            </c:numRef>
          </c:val>
          <c:smooth val="0"/>
          <c:extLst>
            <c:ext xmlns:c16="http://schemas.microsoft.com/office/drawing/2014/chart" uri="{C3380CC4-5D6E-409C-BE32-E72D297353CC}">
              <c16:uniqueId val="{00000000-588F-5D4E-8B30-2CE26CE3C2AA}"/>
            </c:ext>
          </c:extLst>
        </c:ser>
        <c:ser>
          <c:idx val="1"/>
          <c:order val="1"/>
          <c:tx>
            <c:strRef>
              <c:f>'Book value per share'!$J$15:$K$15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'Book value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'Book value per share'!$L$24:$AJ$24</c:f>
              <c:numCache>
                <c:formatCode>0.000_);[Red]\(0.000\)</c:formatCode>
                <c:ptCount val="25"/>
                <c:pt idx="0" formatCode="General">
                  <c:v>0</c:v>
                </c:pt>
                <c:pt idx="1">
                  <c:v>-0.11140306732854512</c:v>
                </c:pt>
                <c:pt idx="2">
                  <c:v>-0.10026899255689523</c:v>
                </c:pt>
                <c:pt idx="3">
                  <c:v>-0.13002504181619901</c:v>
                </c:pt>
                <c:pt idx="4">
                  <c:v>-7.6576249856666945E-2</c:v>
                </c:pt>
                <c:pt idx="5">
                  <c:v>-0.12212631070645277</c:v>
                </c:pt>
                <c:pt idx="6">
                  <c:v>-0.2061480507241622</c:v>
                </c:pt>
                <c:pt idx="7">
                  <c:v>-0.15110720956991491</c:v>
                </c:pt>
                <c:pt idx="8">
                  <c:v>-9.6385000227254852E-2</c:v>
                </c:pt>
                <c:pt idx="9">
                  <c:v>-4.4954100745370179E-2</c:v>
                </c:pt>
                <c:pt idx="10">
                  <c:v>-9.2624860660932284E-3</c:v>
                </c:pt>
                <c:pt idx="11">
                  <c:v>-2.9193189998819299E-2</c:v>
                </c:pt>
                <c:pt idx="12">
                  <c:v>-0.17557667252756834</c:v>
                </c:pt>
                <c:pt idx="13">
                  <c:v>-0.2404044878761803</c:v>
                </c:pt>
                <c:pt idx="14">
                  <c:v>-0.1384372235088161</c:v>
                </c:pt>
                <c:pt idx="15">
                  <c:v>-0.28658451315105404</c:v>
                </c:pt>
                <c:pt idx="16">
                  <c:v>-0.30848164634405922</c:v>
                </c:pt>
                <c:pt idx="17">
                  <c:v>-0.34574857923579022</c:v>
                </c:pt>
                <c:pt idx="18">
                  <c:v>-0.38142124017407042</c:v>
                </c:pt>
                <c:pt idx="19">
                  <c:v>-0.37202408147429405</c:v>
                </c:pt>
                <c:pt idx="20">
                  <c:v>-0.31988965074835868</c:v>
                </c:pt>
                <c:pt idx="21">
                  <c:v>-0.21358323284096201</c:v>
                </c:pt>
                <c:pt idx="22">
                  <c:v>-0.22467217125252645</c:v>
                </c:pt>
                <c:pt idx="23">
                  <c:v>-0.23746034871896016</c:v>
                </c:pt>
                <c:pt idx="24">
                  <c:v>-0.3586424709132483</c:v>
                </c:pt>
              </c:numCache>
            </c:numRef>
          </c:val>
          <c:smooth val="0"/>
          <c:extLst>
            <c:ext xmlns:c16="http://schemas.microsoft.com/office/drawing/2014/chart" uri="{C3380CC4-5D6E-409C-BE32-E72D297353CC}">
              <c16:uniqueId val="{00000001-588F-5D4E-8B30-2CE26CE3C2AA}"/>
            </c:ext>
          </c:extLst>
        </c:ser>
        <c:ser>
          <c:idx val="2"/>
          <c:order val="2"/>
          <c:tx>
            <c:strRef>
              <c:f>'Book value per share'!$J$26:$K$26</c:f>
              <c:strCache>
                <c:ptCount val="2"/>
                <c:pt idx="0">
                  <c:v>S&amp;P 500</c:v>
                </c:pt>
              </c:strCache>
            </c:strRef>
          </c:tx>
          <c:spPr>
            <a:ln w="28575">
              <a:solidFill>
                <a:schemeClr val="accent4"/>
              </a:solidFill>
            </a:ln>
          </c:spPr>
          <c:marker>
            <c:symbol val="none"/>
          </c:marker>
          <c:cat>
            <c:strRef>
              <c:f>'Book value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'Book value per share'!$L$31:$AJ$31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588F-5D4E-8B30-2CE26CE3C2AA}"/>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Book value per share</a:t>
            </a:r>
            <a:r>
              <a:rPr lang="ko-KR" altLang="ko-KR" sz="3000">
                <a:effectLst/>
              </a:rPr>
              <a:t> </a:t>
            </a:r>
          </a:p>
        </c:rich>
      </c:tx>
      <c:overlay val="0"/>
      <c:spPr>
        <a:noFill/>
        <a:ln>
          <a:noFill/>
        </a:ln>
        <a:effectLst/>
      </c:spPr>
    </c:title>
    <c:autoTitleDeleted val="0"/>
    <c:plotArea>
      <c:layout>
        <c:manualLayout>
          <c:layoutTarget val="inner"/>
          <c:xMode val="edge"/>
          <c:yMode val="edge"/>
          <c:x val="0.14075264236502288"/>
          <c:y val="0.1231359416825558"/>
          <c:w val="0.73197923430302936"/>
          <c:h val="0.73600796748814845"/>
        </c:manualLayout>
      </c:layout>
      <c:lineChart>
        <c:grouping val="standard"/>
        <c:varyColors val="0"/>
        <c:ser>
          <c:idx val="0"/>
          <c:order val="0"/>
          <c:tx>
            <c:strRef>
              <c:f>'Book value per share'!$J$2:$K$2</c:f>
              <c:strCache>
                <c:ptCount val="2"/>
                <c:pt idx="0">
                  <c:v>GOOD</c:v>
                </c:pt>
              </c:strCache>
            </c:strRef>
          </c:tx>
          <c:spPr>
            <a:ln w="28575" cap="rnd" cmpd="sng">
              <a:solidFill>
                <a:srgbClr val="FF0000"/>
              </a:solidFill>
              <a:round/>
            </a:ln>
            <a:effectLst/>
          </c:spPr>
          <c:marker>
            <c:symbol val="none"/>
          </c:marker>
          <c:cat>
            <c:strRef>
              <c:f>'Book value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'Book value per share'!$L$11:$AJ$11</c:f>
              <c:numCache>
                <c:formatCode>0.000_);[Red]\(0.000\)</c:formatCode>
                <c:ptCount val="25"/>
                <c:pt idx="0" formatCode="General">
                  <c:v>0</c:v>
                </c:pt>
                <c:pt idx="1">
                  <c:v>-3.8742346384902107E-2</c:v>
                </c:pt>
                <c:pt idx="2">
                  <c:v>-2.572519388880809E-2</c:v>
                </c:pt>
                <c:pt idx="3">
                  <c:v>-1.7645539303422622E-2</c:v>
                </c:pt>
                <c:pt idx="4">
                  <c:v>-1.460892435613885E-2</c:v>
                </c:pt>
                <c:pt idx="5">
                  <c:v>-6.8697888102141169E-2</c:v>
                </c:pt>
                <c:pt idx="6">
                  <c:v>-9.8250287720071217E-2</c:v>
                </c:pt>
                <c:pt idx="7">
                  <c:v>-9.1935641397585449E-2</c:v>
                </c:pt>
                <c:pt idx="8">
                  <c:v>3.0962072638655774E-2</c:v>
                </c:pt>
                <c:pt idx="9">
                  <c:v>0.13043796075103348</c:v>
                </c:pt>
                <c:pt idx="10">
                  <c:v>0.17657312963265209</c:v>
                </c:pt>
                <c:pt idx="11">
                  <c:v>0.16713255355589446</c:v>
                </c:pt>
                <c:pt idx="12">
                  <c:v>-1.3406018769873213E-2</c:v>
                </c:pt>
                <c:pt idx="13">
                  <c:v>-6.8778138019887192E-2</c:v>
                </c:pt>
                <c:pt idx="14">
                  <c:v>3.806482108668291E-2</c:v>
                </c:pt>
                <c:pt idx="15">
                  <c:v>-0.14809888924297146</c:v>
                </c:pt>
                <c:pt idx="16">
                  <c:v>-0.15818682434676321</c:v>
                </c:pt>
                <c:pt idx="17">
                  <c:v>-0.18221586666664413</c:v>
                </c:pt>
                <c:pt idx="18">
                  <c:v>-0.20225619149707086</c:v>
                </c:pt>
                <c:pt idx="19">
                  <c:v>-0.22716341569203205</c:v>
                </c:pt>
                <c:pt idx="20">
                  <c:v>-0.12196697886955189</c:v>
                </c:pt>
                <c:pt idx="21">
                  <c:v>1.7976310594238248E-2</c:v>
                </c:pt>
                <c:pt idx="22">
                  <c:v>6.3202369898516728E-2</c:v>
                </c:pt>
                <c:pt idx="23">
                  <c:v>3.6992864909995905E-2</c:v>
                </c:pt>
                <c:pt idx="24">
                  <c:v>-0.1810592913414415</c:v>
                </c:pt>
              </c:numCache>
            </c:numRef>
          </c:val>
          <c:smooth val="0"/>
          <c:extLst>
            <c:ext xmlns:c16="http://schemas.microsoft.com/office/drawing/2014/chart" uri="{C3380CC4-5D6E-409C-BE32-E72D297353CC}">
              <c16:uniqueId val="{00000000-6435-A34F-8FD7-523F96A9AE5C}"/>
            </c:ext>
          </c:extLst>
        </c:ser>
        <c:ser>
          <c:idx val="1"/>
          <c:order val="1"/>
          <c:tx>
            <c:strRef>
              <c:f>'Book value per share'!$J$15:$K$15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'Book value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'Book value per share'!$L$24:$AJ$24</c:f>
              <c:numCache>
                <c:formatCode>0.000_);[Red]\(0.000\)</c:formatCode>
                <c:ptCount val="25"/>
                <c:pt idx="0" formatCode="General">
                  <c:v>0</c:v>
                </c:pt>
                <c:pt idx="1">
                  <c:v>-0.11140306732854512</c:v>
                </c:pt>
                <c:pt idx="2">
                  <c:v>-0.10026899255689523</c:v>
                </c:pt>
                <c:pt idx="3">
                  <c:v>-0.13002504181619901</c:v>
                </c:pt>
                <c:pt idx="4">
                  <c:v>-7.6576249856666945E-2</c:v>
                </c:pt>
                <c:pt idx="5">
                  <c:v>-0.12212631070645277</c:v>
                </c:pt>
                <c:pt idx="6">
                  <c:v>-0.2061480507241622</c:v>
                </c:pt>
                <c:pt idx="7">
                  <c:v>-0.15110720956991491</c:v>
                </c:pt>
                <c:pt idx="8">
                  <c:v>-9.6385000227254852E-2</c:v>
                </c:pt>
                <c:pt idx="9">
                  <c:v>-4.4954100745370179E-2</c:v>
                </c:pt>
                <c:pt idx="10">
                  <c:v>-9.2624860660932284E-3</c:v>
                </c:pt>
                <c:pt idx="11">
                  <c:v>-2.9193189998819299E-2</c:v>
                </c:pt>
                <c:pt idx="12">
                  <c:v>-0.17557667252756834</c:v>
                </c:pt>
                <c:pt idx="13">
                  <c:v>-0.2404044878761803</c:v>
                </c:pt>
                <c:pt idx="14">
                  <c:v>-0.1384372235088161</c:v>
                </c:pt>
                <c:pt idx="15">
                  <c:v>-0.28658451315105404</c:v>
                </c:pt>
                <c:pt idx="16">
                  <c:v>-0.30848164634405922</c:v>
                </c:pt>
                <c:pt idx="17">
                  <c:v>-0.34574857923579022</c:v>
                </c:pt>
                <c:pt idx="18">
                  <c:v>-0.38142124017407042</c:v>
                </c:pt>
                <c:pt idx="19">
                  <c:v>-0.37202408147429405</c:v>
                </c:pt>
                <c:pt idx="20">
                  <c:v>-0.31988965074835868</c:v>
                </c:pt>
                <c:pt idx="21">
                  <c:v>-0.21358323284096201</c:v>
                </c:pt>
                <c:pt idx="22">
                  <c:v>-0.22467217125252645</c:v>
                </c:pt>
                <c:pt idx="23">
                  <c:v>-0.23746034871896016</c:v>
                </c:pt>
                <c:pt idx="24">
                  <c:v>-0.3586424709132483</c:v>
                </c:pt>
              </c:numCache>
            </c:numRef>
          </c:val>
          <c:smooth val="0"/>
          <c:extLst>
            <c:ext xmlns:c16="http://schemas.microsoft.com/office/drawing/2014/chart" uri="{C3380CC4-5D6E-409C-BE32-E72D297353CC}">
              <c16:uniqueId val="{00000001-6435-A34F-8FD7-523F96A9AE5C}"/>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3000" b="1" i="0" u="none" strike="noStrike">
                <a:effectLst/>
              </a:rPr>
              <a:t>Book value per share</a:t>
            </a:r>
            <a:r>
              <a:rPr lang="ko-KR" altLang="ko-KR" sz="3000">
                <a:effectLst/>
              </a:rPr>
              <a:t> </a:t>
            </a:r>
          </a:p>
        </c:rich>
      </c:tx>
      <c:overlay val="0"/>
      <c:spPr>
        <a:noFill/>
        <a:ln>
          <a:noFill/>
        </a:ln>
        <a:effectLst/>
      </c:spPr>
    </c:title>
    <c:autoTitleDeleted val="0"/>
    <c:plotArea>
      <c:layout>
        <c:manualLayout>
          <c:layoutTarget val="inner"/>
          <c:xMode val="edge"/>
          <c:yMode val="edge"/>
          <c:x val="6.4045492670384466E-2"/>
          <c:y val="0.1294816012514107"/>
          <c:w val="0.73197923430302936"/>
          <c:h val="0.73600796748814845"/>
        </c:manualLayout>
      </c:layout>
      <c:lineChart>
        <c:grouping val="standard"/>
        <c:varyColors val="0"/>
        <c:ser>
          <c:idx val="0"/>
          <c:order val="0"/>
          <c:tx>
            <c:strRef>
              <c:f>'Book value per share'!$J$2:$K$2</c:f>
              <c:strCache>
                <c:ptCount val="2"/>
                <c:pt idx="0">
                  <c:v>GOOD</c:v>
                </c:pt>
              </c:strCache>
            </c:strRef>
          </c:tx>
          <c:spPr>
            <a:ln w="28575" cap="rnd" cmpd="sng">
              <a:solidFill>
                <a:srgbClr val="FF0000"/>
              </a:solidFill>
              <a:round/>
            </a:ln>
            <a:effectLst/>
          </c:spPr>
          <c:marker>
            <c:symbol val="none"/>
          </c:marker>
          <c:cat>
            <c:strRef>
              <c:f>'Book value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'Book value per share'!$L$11:$AJ$11</c:f>
              <c:numCache>
                <c:formatCode>0.000_);[Red]\(0.000\)</c:formatCode>
                <c:ptCount val="25"/>
                <c:pt idx="0" formatCode="General">
                  <c:v>0</c:v>
                </c:pt>
                <c:pt idx="1">
                  <c:v>-3.8742346384902107E-2</c:v>
                </c:pt>
                <c:pt idx="2">
                  <c:v>-2.572519388880809E-2</c:v>
                </c:pt>
                <c:pt idx="3">
                  <c:v>-1.7645539303422622E-2</c:v>
                </c:pt>
                <c:pt idx="4">
                  <c:v>-1.460892435613885E-2</c:v>
                </c:pt>
                <c:pt idx="5">
                  <c:v>-6.8697888102141169E-2</c:v>
                </c:pt>
                <c:pt idx="6">
                  <c:v>-9.8250287720071217E-2</c:v>
                </c:pt>
                <c:pt idx="7">
                  <c:v>-9.1935641397585449E-2</c:v>
                </c:pt>
                <c:pt idx="8">
                  <c:v>3.0962072638655774E-2</c:v>
                </c:pt>
                <c:pt idx="9">
                  <c:v>0.13043796075103348</c:v>
                </c:pt>
                <c:pt idx="10">
                  <c:v>0.17657312963265209</c:v>
                </c:pt>
                <c:pt idx="11">
                  <c:v>0.16713255355589446</c:v>
                </c:pt>
                <c:pt idx="12">
                  <c:v>-1.3406018769873213E-2</c:v>
                </c:pt>
                <c:pt idx="13">
                  <c:v>-6.8778138019887192E-2</c:v>
                </c:pt>
                <c:pt idx="14">
                  <c:v>3.806482108668291E-2</c:v>
                </c:pt>
                <c:pt idx="15">
                  <c:v>-0.14809888924297146</c:v>
                </c:pt>
                <c:pt idx="16">
                  <c:v>-0.15818682434676321</c:v>
                </c:pt>
                <c:pt idx="17">
                  <c:v>-0.18221586666664413</c:v>
                </c:pt>
                <c:pt idx="18">
                  <c:v>-0.20225619149707086</c:v>
                </c:pt>
                <c:pt idx="19">
                  <c:v>-0.22716341569203205</c:v>
                </c:pt>
                <c:pt idx="20">
                  <c:v>-0.12196697886955189</c:v>
                </c:pt>
                <c:pt idx="21">
                  <c:v>1.7976310594238248E-2</c:v>
                </c:pt>
                <c:pt idx="22">
                  <c:v>6.3202369898516728E-2</c:v>
                </c:pt>
                <c:pt idx="23">
                  <c:v>3.6992864909995905E-2</c:v>
                </c:pt>
                <c:pt idx="24">
                  <c:v>-0.1810592913414415</c:v>
                </c:pt>
              </c:numCache>
            </c:numRef>
          </c:val>
          <c:smooth val="0"/>
          <c:extLst>
            <c:ext xmlns:c16="http://schemas.microsoft.com/office/drawing/2014/chart" uri="{C3380CC4-5D6E-409C-BE32-E72D297353CC}">
              <c16:uniqueId val="{00000000-0F44-DE44-9E35-AC8AF88653E3}"/>
            </c:ext>
          </c:extLst>
        </c:ser>
        <c:ser>
          <c:idx val="1"/>
          <c:order val="1"/>
          <c:tx>
            <c:strRef>
              <c:f>'Book value per share'!$J$15:$K$15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'Book value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'Book value per share'!$L$24:$AJ$24</c:f>
              <c:numCache>
                <c:formatCode>0.000_);[Red]\(0.000\)</c:formatCode>
                <c:ptCount val="25"/>
                <c:pt idx="0" formatCode="General">
                  <c:v>0</c:v>
                </c:pt>
                <c:pt idx="1">
                  <c:v>-0.11140306732854512</c:v>
                </c:pt>
                <c:pt idx="2">
                  <c:v>-0.10026899255689523</c:v>
                </c:pt>
                <c:pt idx="3">
                  <c:v>-0.13002504181619901</c:v>
                </c:pt>
                <c:pt idx="4">
                  <c:v>-7.6576249856666945E-2</c:v>
                </c:pt>
                <c:pt idx="5">
                  <c:v>-0.12212631070645277</c:v>
                </c:pt>
                <c:pt idx="6">
                  <c:v>-0.2061480507241622</c:v>
                </c:pt>
                <c:pt idx="7">
                  <c:v>-0.15110720956991491</c:v>
                </c:pt>
                <c:pt idx="8">
                  <c:v>-9.6385000227254852E-2</c:v>
                </c:pt>
                <c:pt idx="9">
                  <c:v>-4.4954100745370179E-2</c:v>
                </c:pt>
                <c:pt idx="10">
                  <c:v>-9.2624860660932284E-3</c:v>
                </c:pt>
                <c:pt idx="11">
                  <c:v>-2.9193189998819299E-2</c:v>
                </c:pt>
                <c:pt idx="12">
                  <c:v>-0.17557667252756834</c:v>
                </c:pt>
                <c:pt idx="13">
                  <c:v>-0.2404044878761803</c:v>
                </c:pt>
                <c:pt idx="14">
                  <c:v>-0.1384372235088161</c:v>
                </c:pt>
                <c:pt idx="15">
                  <c:v>-0.28658451315105404</c:v>
                </c:pt>
                <c:pt idx="16">
                  <c:v>-0.30848164634405922</c:v>
                </c:pt>
                <c:pt idx="17">
                  <c:v>-0.34574857923579022</c:v>
                </c:pt>
                <c:pt idx="18">
                  <c:v>-0.38142124017407042</c:v>
                </c:pt>
                <c:pt idx="19">
                  <c:v>-0.37202408147429405</c:v>
                </c:pt>
                <c:pt idx="20">
                  <c:v>-0.31988965074835868</c:v>
                </c:pt>
                <c:pt idx="21">
                  <c:v>-0.21358323284096201</c:v>
                </c:pt>
                <c:pt idx="22">
                  <c:v>-0.22467217125252645</c:v>
                </c:pt>
                <c:pt idx="23">
                  <c:v>-0.23746034871896016</c:v>
                </c:pt>
                <c:pt idx="24">
                  <c:v>-0.3586424709132483</c:v>
                </c:pt>
              </c:numCache>
            </c:numRef>
          </c:val>
          <c:smooth val="0"/>
          <c:extLst>
            <c:ext xmlns:c16="http://schemas.microsoft.com/office/drawing/2014/chart" uri="{C3380CC4-5D6E-409C-BE32-E72D297353CC}">
              <c16:uniqueId val="{00000001-0F44-DE44-9E35-AC8AF88653E3}"/>
            </c:ext>
          </c:extLst>
        </c:ser>
        <c:ser>
          <c:idx val="2"/>
          <c:order val="2"/>
          <c:tx>
            <c:strRef>
              <c:f>'Book value per share'!$J$68:$K$68</c:f>
              <c:strCache>
                <c:ptCount val="2"/>
                <c:pt idx="0">
                  <c:v>Industry average</c:v>
                </c:pt>
              </c:strCache>
            </c:strRef>
          </c:tx>
          <c:spPr>
            <a:ln w="28575">
              <a:solidFill>
                <a:schemeClr val="accent6"/>
              </a:solidFill>
            </a:ln>
          </c:spPr>
          <c:marker>
            <c:symbol val="none"/>
          </c:marker>
          <c:cat>
            <c:strRef>
              <c:f>'Book value per share'!$L$2:$AJ$2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'Book value per share'!$L$73:$AJ$73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0F44-DE44-9E35-AC8AF88653E3}"/>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79973168765984592"/>
          <c:y val="0.11976374826285485"/>
          <c:w val="0.20026831234015408"/>
          <c:h val="0.15617917344536336"/>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3000" b="1" i="0" u="none" strike="noStrike" kern="1200" baseline="0">
                <a:solidFill>
                  <a:sysClr val="windowText" lastClr="000000"/>
                </a:solidFill>
                <a:effectLst/>
                <a:cs typeface="+mn-ea"/>
                <a:sym typeface="+mn-ea"/>
              </a:rPr>
              <a:t>CASM-ex</a:t>
            </a:r>
            <a:endParaRPr lang="ko-KR" altLang="ko-KR" sz="3000">
              <a:effectLst/>
            </a:endParaRPr>
          </a:p>
        </c:rich>
      </c:tx>
      <c:overlay val="0"/>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'CASM-ex'!$J$2:$K$2</c:f>
              <c:strCache>
                <c:ptCount val="2"/>
                <c:pt idx="0">
                  <c:v>GOOD</c:v>
                </c:pt>
              </c:strCache>
            </c:strRef>
          </c:tx>
          <c:spPr>
            <a:ln w="28575" cap="rnd" cmpd="sng">
              <a:solidFill>
                <a:srgbClr val="FF0000"/>
              </a:solidFill>
              <a:round/>
            </a:ln>
            <a:effectLst/>
          </c:spPr>
          <c:marker>
            <c:symbol val="none"/>
          </c:marker>
          <c:cat>
            <c:strRef>
              <c:f>'CASM-ex'!$L$2:$AJ$2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'CASM-ex'!$L$11:$AJ$11</c:f>
              <c:numCache>
                <c:formatCode>0.000_);[Red]\(0.000\)</c:formatCode>
                <c:ptCount val="25"/>
                <c:pt idx="0" formatCode="General">
                  <c:v>0</c:v>
                </c:pt>
                <c:pt idx="1">
                  <c:v>-0.1185465866521121</c:v>
                </c:pt>
                <c:pt idx="2">
                  <c:v>-0.1063102801273418</c:v>
                </c:pt>
                <c:pt idx="3">
                  <c:v>-0.11810245956254339</c:v>
                </c:pt>
                <c:pt idx="4">
                  <c:v>-5.9203520410332583E-2</c:v>
                </c:pt>
                <c:pt idx="5">
                  <c:v>-0.16348963449291656</c:v>
                </c:pt>
                <c:pt idx="6">
                  <c:v>-0.22109975568670526</c:v>
                </c:pt>
                <c:pt idx="7">
                  <c:v>-0.19892060764598157</c:v>
                </c:pt>
                <c:pt idx="8">
                  <c:v>-0.10668749222795154</c:v>
                </c:pt>
                <c:pt idx="9">
                  <c:v>-4.1267354518268851E-2</c:v>
                </c:pt>
                <c:pt idx="10">
                  <c:v>2.5221811167637234E-2</c:v>
                </c:pt>
                <c:pt idx="11">
                  <c:v>6.8433106272154931E-3</c:v>
                </c:pt>
                <c:pt idx="12">
                  <c:v>-0.1615292941327785</c:v>
                </c:pt>
                <c:pt idx="13">
                  <c:v>-0.25032157170827912</c:v>
                </c:pt>
                <c:pt idx="14">
                  <c:v>-0.13939264598150136</c:v>
                </c:pt>
                <c:pt idx="15">
                  <c:v>-0.35345331679127234</c:v>
                </c:pt>
                <c:pt idx="16">
                  <c:v>-0.35872509619339782</c:v>
                </c:pt>
                <c:pt idx="17">
                  <c:v>-0.43505613401786519</c:v>
                </c:pt>
                <c:pt idx="18">
                  <c:v>-0.42881040301340789</c:v>
                </c:pt>
                <c:pt idx="19">
                  <c:v>-0.43794607488267018</c:v>
                </c:pt>
                <c:pt idx="20">
                  <c:v>-0.3557144905483221</c:v>
                </c:pt>
                <c:pt idx="21">
                  <c:v>-0.24893177700503777</c:v>
                </c:pt>
                <c:pt idx="22">
                  <c:v>-0.21797388544668628</c:v>
                </c:pt>
                <c:pt idx="23">
                  <c:v>-0.24229104391645237</c:v>
                </c:pt>
                <c:pt idx="24">
                  <c:v>-0.37731397001249523</c:v>
                </c:pt>
              </c:numCache>
            </c:numRef>
          </c:val>
          <c:smooth val="0"/>
          <c:extLst>
            <c:ext xmlns:c16="http://schemas.microsoft.com/office/drawing/2014/chart" uri="{C3380CC4-5D6E-409C-BE32-E72D297353CC}">
              <c16:uniqueId val="{00000000-4E77-0746-B5FA-46B230F86276}"/>
            </c:ext>
          </c:extLst>
        </c:ser>
        <c:ser>
          <c:idx val="1"/>
          <c:order val="1"/>
          <c:tx>
            <c:strRef>
              <c:f>'CASM-ex'!$J$15:$K$15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'CASM-ex'!$L$2:$AJ$2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'CASM-ex'!$L$24:$AJ$24</c:f>
              <c:numCache>
                <c:formatCode>0.000_);[Red]\(0.000\)</c:formatCode>
                <c:ptCount val="25"/>
                <c:pt idx="0" formatCode="General">
                  <c:v>0</c:v>
                </c:pt>
                <c:pt idx="1">
                  <c:v>-4.3814533691509117E-2</c:v>
                </c:pt>
                <c:pt idx="2">
                  <c:v>-2.1947753107125545E-2</c:v>
                </c:pt>
                <c:pt idx="3">
                  <c:v>-4.3924270731354673E-2</c:v>
                </c:pt>
                <c:pt idx="4">
                  <c:v>-3.9897596776579086E-2</c:v>
                </c:pt>
                <c:pt idx="5">
                  <c:v>-6.8671779852304132E-2</c:v>
                </c:pt>
                <c:pt idx="6">
                  <c:v>-0.12120368439225146</c:v>
                </c:pt>
                <c:pt idx="7">
                  <c:v>-0.16882206053847984</c:v>
                </c:pt>
                <c:pt idx="8">
                  <c:v>-9.9803134969838031E-2</c:v>
                </c:pt>
                <c:pt idx="9">
                  <c:v>-2.6273649005229271E-3</c:v>
                </c:pt>
                <c:pt idx="10">
                  <c:v>4.5236891892388026E-2</c:v>
                </c:pt>
                <c:pt idx="11">
                  <c:v>8.8592908728898717E-2</c:v>
                </c:pt>
                <c:pt idx="12">
                  <c:v>-5.6301190258431361E-2</c:v>
                </c:pt>
                <c:pt idx="13">
                  <c:v>-9.7790682402366103E-2</c:v>
                </c:pt>
                <c:pt idx="14">
                  <c:v>-1.2436927595483857E-2</c:v>
                </c:pt>
                <c:pt idx="15">
                  <c:v>1.8845355853605934E-2</c:v>
                </c:pt>
                <c:pt idx="16">
                  <c:v>6.806788979977922E-3</c:v>
                </c:pt>
                <c:pt idx="17">
                  <c:v>7.5497154547254919E-4</c:v>
                </c:pt>
                <c:pt idx="18">
                  <c:v>-2.7664423269148291E-2</c:v>
                </c:pt>
                <c:pt idx="19">
                  <c:v>-0.10310824389952949</c:v>
                </c:pt>
                <c:pt idx="20">
                  <c:v>-1.5276828276804618E-2</c:v>
                </c:pt>
                <c:pt idx="21">
                  <c:v>6.61938379774792E-2</c:v>
                </c:pt>
                <c:pt idx="22">
                  <c:v>7.8843260933705375E-2</c:v>
                </c:pt>
                <c:pt idx="23">
                  <c:v>8.7303646510307628E-2</c:v>
                </c:pt>
                <c:pt idx="24">
                  <c:v>-9.260067750791269E-2</c:v>
                </c:pt>
              </c:numCache>
            </c:numRef>
          </c:val>
          <c:smooth val="0"/>
          <c:extLst>
            <c:ext xmlns:c16="http://schemas.microsoft.com/office/drawing/2014/chart" uri="{C3380CC4-5D6E-409C-BE32-E72D297353CC}">
              <c16:uniqueId val="{00000001-4E77-0746-B5FA-46B230F86276}"/>
            </c:ext>
          </c:extLst>
        </c:ser>
        <c:ser>
          <c:idx val="2"/>
          <c:order val="2"/>
          <c:tx>
            <c:strRef>
              <c:f>'CASM-ex'!$J$26:$K$26</c:f>
              <c:strCache>
                <c:ptCount val="2"/>
                <c:pt idx="0">
                  <c:v>S&amp;P 500</c:v>
                </c:pt>
              </c:strCache>
            </c:strRef>
          </c:tx>
          <c:spPr>
            <a:ln w="28575">
              <a:solidFill>
                <a:schemeClr val="accent4"/>
              </a:solidFill>
            </a:ln>
          </c:spPr>
          <c:marker>
            <c:symbol val="none"/>
          </c:marker>
          <c:cat>
            <c:strRef>
              <c:f>'CASM-ex'!$L$2:$AJ$2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'CASM-ex'!$L$31:$AJ$31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4E77-0746-B5FA-46B230F86276}"/>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3000" b="1" i="0" u="none">
                <a:solidFill>
                  <a:sysClr val="windowText" lastClr="000000"/>
                </a:solidFill>
                <a:latin typeface="+mn-lt"/>
                <a:ea typeface="+mn-ea"/>
                <a:cs typeface="+mn-ea"/>
                <a:sym typeface="+mn-ea"/>
              </a:defRPr>
            </a:pPr>
            <a:r>
              <a:rPr lang="ko-KR" altLang="ko-KR" sz="3000" b="1" i="0" u="none" strike="noStrike">
                <a:effectLst/>
              </a:rPr>
              <a:t>CASM-ex </a:t>
            </a:r>
            <a:endParaRPr lang="en-US" altLang="ko-KR" sz="3000" b="1" i="0" u="none" strike="noStrike">
              <a:effectLst/>
            </a:endParaRPr>
          </a:p>
        </c:rich>
      </c:tx>
      <c:overlay val="0"/>
      <c:spPr>
        <a:noFill/>
        <a:ln>
          <a:noFill/>
        </a:ln>
        <a:effectLst/>
      </c:spPr>
    </c:title>
    <c:autoTitleDeleted val="0"/>
    <c:plotArea>
      <c:layout>
        <c:manualLayout>
          <c:layoutTarget val="inner"/>
          <c:xMode val="edge"/>
          <c:yMode val="edge"/>
          <c:x val="0.13499097861899623"/>
          <c:y val="0.12313592117393017"/>
          <c:w val="0.73197923430302936"/>
          <c:h val="0.73600796748814845"/>
        </c:manualLayout>
      </c:layout>
      <c:lineChart>
        <c:grouping val="standard"/>
        <c:varyColors val="0"/>
        <c:ser>
          <c:idx val="0"/>
          <c:order val="0"/>
          <c:tx>
            <c:strRef>
              <c:f>'CASM-ex'!$J$2:$K$2</c:f>
              <c:strCache>
                <c:ptCount val="2"/>
                <c:pt idx="0">
                  <c:v>GOOD</c:v>
                </c:pt>
              </c:strCache>
            </c:strRef>
          </c:tx>
          <c:spPr>
            <a:ln w="28575" cap="rnd" cmpd="sng">
              <a:solidFill>
                <a:srgbClr val="FF0000"/>
              </a:solidFill>
              <a:round/>
            </a:ln>
            <a:effectLst/>
          </c:spPr>
          <c:marker>
            <c:symbol val="none"/>
          </c:marker>
          <c:cat>
            <c:strRef>
              <c:f>'CASM-ex'!$L$2:$AJ$2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'CASM-ex'!$L$11:$AJ$11</c:f>
              <c:numCache>
                <c:formatCode>0.000_);[Red]\(0.000\)</c:formatCode>
                <c:ptCount val="25"/>
                <c:pt idx="0" formatCode="General">
                  <c:v>0</c:v>
                </c:pt>
                <c:pt idx="1">
                  <c:v>-0.1185465866521121</c:v>
                </c:pt>
                <c:pt idx="2">
                  <c:v>-0.1063102801273418</c:v>
                </c:pt>
                <c:pt idx="3">
                  <c:v>-0.11810245956254339</c:v>
                </c:pt>
                <c:pt idx="4">
                  <c:v>-5.9203520410332583E-2</c:v>
                </c:pt>
                <c:pt idx="5">
                  <c:v>-0.16348963449291656</c:v>
                </c:pt>
                <c:pt idx="6">
                  <c:v>-0.22109975568670526</c:v>
                </c:pt>
                <c:pt idx="7">
                  <c:v>-0.19892060764598157</c:v>
                </c:pt>
                <c:pt idx="8">
                  <c:v>-0.10668749222795154</c:v>
                </c:pt>
                <c:pt idx="9">
                  <c:v>-4.1267354518268851E-2</c:v>
                </c:pt>
                <c:pt idx="10">
                  <c:v>2.5221811167637234E-2</c:v>
                </c:pt>
                <c:pt idx="11">
                  <c:v>6.8433106272154931E-3</c:v>
                </c:pt>
                <c:pt idx="12">
                  <c:v>-0.1615292941327785</c:v>
                </c:pt>
                <c:pt idx="13">
                  <c:v>-0.25032157170827912</c:v>
                </c:pt>
                <c:pt idx="14">
                  <c:v>-0.13939264598150136</c:v>
                </c:pt>
                <c:pt idx="15">
                  <c:v>-0.35345331679127234</c:v>
                </c:pt>
                <c:pt idx="16">
                  <c:v>-0.35872509619339782</c:v>
                </c:pt>
                <c:pt idx="17">
                  <c:v>-0.43505613401786519</c:v>
                </c:pt>
                <c:pt idx="18">
                  <c:v>-0.42881040301340789</c:v>
                </c:pt>
                <c:pt idx="19">
                  <c:v>-0.43794607488267018</c:v>
                </c:pt>
                <c:pt idx="20">
                  <c:v>-0.3557144905483221</c:v>
                </c:pt>
                <c:pt idx="21">
                  <c:v>-0.24893177700503777</c:v>
                </c:pt>
                <c:pt idx="22">
                  <c:v>-0.21797388544668628</c:v>
                </c:pt>
                <c:pt idx="23">
                  <c:v>-0.24229104391645237</c:v>
                </c:pt>
                <c:pt idx="24">
                  <c:v>-0.37731397001249523</c:v>
                </c:pt>
              </c:numCache>
            </c:numRef>
          </c:val>
          <c:smooth val="0"/>
          <c:extLst>
            <c:ext xmlns:c16="http://schemas.microsoft.com/office/drawing/2014/chart" uri="{C3380CC4-5D6E-409C-BE32-E72D297353CC}">
              <c16:uniqueId val="{00000000-8B27-214D-9A9A-952470DE10EB}"/>
            </c:ext>
          </c:extLst>
        </c:ser>
        <c:ser>
          <c:idx val="1"/>
          <c:order val="1"/>
          <c:tx>
            <c:strRef>
              <c:f>'CASM-ex'!$J$15:$K$15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'CASM-ex'!$L$2:$AJ$2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'CASM-ex'!$L$24:$AJ$24</c:f>
              <c:numCache>
                <c:formatCode>0.000_);[Red]\(0.000\)</c:formatCode>
                <c:ptCount val="25"/>
                <c:pt idx="0" formatCode="General">
                  <c:v>0</c:v>
                </c:pt>
                <c:pt idx="1">
                  <c:v>-4.3814533691509117E-2</c:v>
                </c:pt>
                <c:pt idx="2">
                  <c:v>-2.1947753107125545E-2</c:v>
                </c:pt>
                <c:pt idx="3">
                  <c:v>-4.3924270731354673E-2</c:v>
                </c:pt>
                <c:pt idx="4">
                  <c:v>-3.9897596776579086E-2</c:v>
                </c:pt>
                <c:pt idx="5">
                  <c:v>-6.8671779852304132E-2</c:v>
                </c:pt>
                <c:pt idx="6">
                  <c:v>-0.12120368439225146</c:v>
                </c:pt>
                <c:pt idx="7">
                  <c:v>-0.16882206053847984</c:v>
                </c:pt>
                <c:pt idx="8">
                  <c:v>-9.9803134969838031E-2</c:v>
                </c:pt>
                <c:pt idx="9">
                  <c:v>-2.6273649005229271E-3</c:v>
                </c:pt>
                <c:pt idx="10">
                  <c:v>4.5236891892388026E-2</c:v>
                </c:pt>
                <c:pt idx="11">
                  <c:v>8.8592908728898717E-2</c:v>
                </c:pt>
                <c:pt idx="12">
                  <c:v>-5.6301190258431361E-2</c:v>
                </c:pt>
                <c:pt idx="13">
                  <c:v>-9.7790682402366103E-2</c:v>
                </c:pt>
                <c:pt idx="14">
                  <c:v>-1.2436927595483857E-2</c:v>
                </c:pt>
                <c:pt idx="15">
                  <c:v>1.8845355853605934E-2</c:v>
                </c:pt>
                <c:pt idx="16">
                  <c:v>6.806788979977922E-3</c:v>
                </c:pt>
                <c:pt idx="17">
                  <c:v>7.5497154547254919E-4</c:v>
                </c:pt>
                <c:pt idx="18">
                  <c:v>-2.7664423269148291E-2</c:v>
                </c:pt>
                <c:pt idx="19">
                  <c:v>-0.10310824389952949</c:v>
                </c:pt>
                <c:pt idx="20">
                  <c:v>-1.5276828276804618E-2</c:v>
                </c:pt>
                <c:pt idx="21">
                  <c:v>6.61938379774792E-2</c:v>
                </c:pt>
                <c:pt idx="22">
                  <c:v>7.8843260933705375E-2</c:v>
                </c:pt>
                <c:pt idx="23">
                  <c:v>8.7303646510307628E-2</c:v>
                </c:pt>
                <c:pt idx="24">
                  <c:v>-9.260067750791269E-2</c:v>
                </c:pt>
              </c:numCache>
            </c:numRef>
          </c:val>
          <c:smooth val="0"/>
          <c:extLst>
            <c:ext xmlns:c16="http://schemas.microsoft.com/office/drawing/2014/chart" uri="{C3380CC4-5D6E-409C-BE32-E72D297353CC}">
              <c16:uniqueId val="{00000001-8B27-214D-9A9A-952470DE10EB}"/>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3000" b="1" i="0" u="none" strike="noStrike" kern="1200" baseline="0">
                <a:solidFill>
                  <a:sysClr val="windowText" lastClr="000000"/>
                </a:solidFill>
                <a:effectLst/>
                <a:cs typeface="+mn-ea"/>
                <a:sym typeface="+mn-ea"/>
              </a:rPr>
              <a:t>CASM-ex</a:t>
            </a:r>
            <a:endParaRPr lang="ko-KR" altLang="ko-KR" sz="3000">
              <a:effectLst/>
            </a:endParaRPr>
          </a:p>
        </c:rich>
      </c:tx>
      <c:overlay val="0"/>
      <c:spPr>
        <a:noFill/>
        <a:ln>
          <a:noFill/>
        </a:ln>
        <a:effectLst/>
      </c:spPr>
    </c:title>
    <c:autoTitleDeleted val="0"/>
    <c:plotArea>
      <c:layout>
        <c:manualLayout>
          <c:layoutTarget val="inner"/>
          <c:xMode val="edge"/>
          <c:yMode val="edge"/>
          <c:x val="7.6713369345037127E-2"/>
          <c:y val="0.12736638139512574"/>
          <c:w val="0.73197923430302936"/>
          <c:h val="0.73600796748814845"/>
        </c:manualLayout>
      </c:layout>
      <c:lineChart>
        <c:grouping val="standard"/>
        <c:varyColors val="0"/>
        <c:ser>
          <c:idx val="0"/>
          <c:order val="0"/>
          <c:tx>
            <c:strRef>
              <c:f>'CASM-ex'!$J$2:$K$2</c:f>
              <c:strCache>
                <c:ptCount val="2"/>
                <c:pt idx="0">
                  <c:v>GOOD</c:v>
                </c:pt>
              </c:strCache>
            </c:strRef>
          </c:tx>
          <c:spPr>
            <a:ln w="28575" cap="rnd" cmpd="sng">
              <a:solidFill>
                <a:srgbClr val="FF0000"/>
              </a:solidFill>
              <a:round/>
            </a:ln>
            <a:effectLst/>
          </c:spPr>
          <c:marker>
            <c:symbol val="none"/>
          </c:marker>
          <c:cat>
            <c:strRef>
              <c:f>'CASM-ex'!$L$2:$AJ$2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'CASM-ex'!$L$11:$AJ$11</c:f>
              <c:numCache>
                <c:formatCode>0.000_);[Red]\(0.000\)</c:formatCode>
                <c:ptCount val="25"/>
                <c:pt idx="0" formatCode="General">
                  <c:v>0</c:v>
                </c:pt>
                <c:pt idx="1">
                  <c:v>-0.1185465866521121</c:v>
                </c:pt>
                <c:pt idx="2">
                  <c:v>-0.1063102801273418</c:v>
                </c:pt>
                <c:pt idx="3">
                  <c:v>-0.11810245956254339</c:v>
                </c:pt>
                <c:pt idx="4">
                  <c:v>-5.9203520410332583E-2</c:v>
                </c:pt>
                <c:pt idx="5">
                  <c:v>-0.16348963449291656</c:v>
                </c:pt>
                <c:pt idx="6">
                  <c:v>-0.22109975568670526</c:v>
                </c:pt>
                <c:pt idx="7">
                  <c:v>-0.19892060764598157</c:v>
                </c:pt>
                <c:pt idx="8">
                  <c:v>-0.10668749222795154</c:v>
                </c:pt>
                <c:pt idx="9">
                  <c:v>-4.1267354518268851E-2</c:v>
                </c:pt>
                <c:pt idx="10">
                  <c:v>2.5221811167637234E-2</c:v>
                </c:pt>
                <c:pt idx="11">
                  <c:v>6.8433106272154931E-3</c:v>
                </c:pt>
                <c:pt idx="12">
                  <c:v>-0.1615292941327785</c:v>
                </c:pt>
                <c:pt idx="13">
                  <c:v>-0.25032157170827912</c:v>
                </c:pt>
                <c:pt idx="14">
                  <c:v>-0.13939264598150136</c:v>
                </c:pt>
                <c:pt idx="15">
                  <c:v>-0.35345331679127234</c:v>
                </c:pt>
                <c:pt idx="16">
                  <c:v>-0.35872509619339782</c:v>
                </c:pt>
                <c:pt idx="17">
                  <c:v>-0.43505613401786519</c:v>
                </c:pt>
                <c:pt idx="18">
                  <c:v>-0.42881040301340789</c:v>
                </c:pt>
                <c:pt idx="19">
                  <c:v>-0.43794607488267018</c:v>
                </c:pt>
                <c:pt idx="20">
                  <c:v>-0.3557144905483221</c:v>
                </c:pt>
                <c:pt idx="21">
                  <c:v>-0.24893177700503777</c:v>
                </c:pt>
                <c:pt idx="22">
                  <c:v>-0.21797388544668628</c:v>
                </c:pt>
                <c:pt idx="23">
                  <c:v>-0.24229104391645237</c:v>
                </c:pt>
                <c:pt idx="24">
                  <c:v>-0.37731397001249523</c:v>
                </c:pt>
              </c:numCache>
            </c:numRef>
          </c:val>
          <c:smooth val="0"/>
          <c:extLst>
            <c:ext xmlns:c16="http://schemas.microsoft.com/office/drawing/2014/chart" uri="{C3380CC4-5D6E-409C-BE32-E72D297353CC}">
              <c16:uniqueId val="{00000000-2C3D-D846-B061-3422BDBC8371}"/>
            </c:ext>
          </c:extLst>
        </c:ser>
        <c:ser>
          <c:idx val="1"/>
          <c:order val="1"/>
          <c:tx>
            <c:strRef>
              <c:f>'CASM-ex'!$J$15:$K$15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'CASM-ex'!$L$2:$AJ$2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'CASM-ex'!$L$24:$AJ$24</c:f>
              <c:numCache>
                <c:formatCode>0.000_);[Red]\(0.000\)</c:formatCode>
                <c:ptCount val="25"/>
                <c:pt idx="0" formatCode="General">
                  <c:v>0</c:v>
                </c:pt>
                <c:pt idx="1">
                  <c:v>-4.3814533691509117E-2</c:v>
                </c:pt>
                <c:pt idx="2">
                  <c:v>-2.1947753107125545E-2</c:v>
                </c:pt>
                <c:pt idx="3">
                  <c:v>-4.3924270731354673E-2</c:v>
                </c:pt>
                <c:pt idx="4">
                  <c:v>-3.9897596776579086E-2</c:v>
                </c:pt>
                <c:pt idx="5">
                  <c:v>-6.8671779852304132E-2</c:v>
                </c:pt>
                <c:pt idx="6">
                  <c:v>-0.12120368439225146</c:v>
                </c:pt>
                <c:pt idx="7">
                  <c:v>-0.16882206053847984</c:v>
                </c:pt>
                <c:pt idx="8">
                  <c:v>-9.9803134969838031E-2</c:v>
                </c:pt>
                <c:pt idx="9">
                  <c:v>-2.6273649005229271E-3</c:v>
                </c:pt>
                <c:pt idx="10">
                  <c:v>4.5236891892388026E-2</c:v>
                </c:pt>
                <c:pt idx="11">
                  <c:v>8.8592908728898717E-2</c:v>
                </c:pt>
                <c:pt idx="12">
                  <c:v>-5.6301190258431361E-2</c:v>
                </c:pt>
                <c:pt idx="13">
                  <c:v>-9.7790682402366103E-2</c:v>
                </c:pt>
                <c:pt idx="14">
                  <c:v>-1.2436927595483857E-2</c:v>
                </c:pt>
                <c:pt idx="15">
                  <c:v>1.8845355853605934E-2</c:v>
                </c:pt>
                <c:pt idx="16">
                  <c:v>6.806788979977922E-3</c:v>
                </c:pt>
                <c:pt idx="17">
                  <c:v>7.5497154547254919E-4</c:v>
                </c:pt>
                <c:pt idx="18">
                  <c:v>-2.7664423269148291E-2</c:v>
                </c:pt>
                <c:pt idx="19">
                  <c:v>-0.10310824389952949</c:v>
                </c:pt>
                <c:pt idx="20">
                  <c:v>-1.5276828276804618E-2</c:v>
                </c:pt>
                <c:pt idx="21">
                  <c:v>6.61938379774792E-2</c:v>
                </c:pt>
                <c:pt idx="22">
                  <c:v>7.8843260933705375E-2</c:v>
                </c:pt>
                <c:pt idx="23">
                  <c:v>8.7303646510307628E-2</c:v>
                </c:pt>
                <c:pt idx="24">
                  <c:v>-9.260067750791269E-2</c:v>
                </c:pt>
              </c:numCache>
            </c:numRef>
          </c:val>
          <c:smooth val="0"/>
          <c:extLst>
            <c:ext xmlns:c16="http://schemas.microsoft.com/office/drawing/2014/chart" uri="{C3380CC4-5D6E-409C-BE32-E72D297353CC}">
              <c16:uniqueId val="{00000001-2C3D-D846-B061-3422BDBC8371}"/>
            </c:ext>
          </c:extLst>
        </c:ser>
        <c:ser>
          <c:idx val="2"/>
          <c:order val="2"/>
          <c:tx>
            <c:strRef>
              <c:f>'CASM-ex'!$J$68:$K$68</c:f>
              <c:strCache>
                <c:ptCount val="2"/>
                <c:pt idx="0">
                  <c:v>Industry average</c:v>
                </c:pt>
              </c:strCache>
            </c:strRef>
          </c:tx>
          <c:spPr>
            <a:ln w="28575">
              <a:solidFill>
                <a:schemeClr val="accent6"/>
              </a:solidFill>
            </a:ln>
          </c:spPr>
          <c:marker>
            <c:symbol val="none"/>
          </c:marker>
          <c:cat>
            <c:strRef>
              <c:f>'CASM-ex'!$L$2:$AJ$2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'CASM-ex'!$L$73:$AJ$73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2C3D-D846-B061-3422BDBC8371}"/>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3000" b="1" i="0" u="none" strike="noStrike">
                <a:effectLst/>
              </a:rPr>
              <a:t>RASM (Revenue per available seat mile)</a:t>
            </a:r>
            <a:r>
              <a:rPr lang="ko-KR" altLang="ko-KR" sz="3000">
                <a:effectLst/>
              </a:rPr>
              <a:t> </a:t>
            </a:r>
          </a:p>
        </c:rich>
      </c:tx>
      <c:overlay val="0"/>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RASM!$J$2:$K$2</c:f>
              <c:strCache>
                <c:ptCount val="2"/>
                <c:pt idx="0">
                  <c:v>GOOD</c:v>
                </c:pt>
              </c:strCache>
            </c:strRef>
          </c:tx>
          <c:spPr>
            <a:ln w="28575" cap="rnd" cmpd="sng">
              <a:solidFill>
                <a:srgbClr val="FF0000"/>
              </a:solidFill>
              <a:round/>
            </a:ln>
            <a:effectLst/>
          </c:spPr>
          <c:marker>
            <c:symbol val="none"/>
          </c:marker>
          <c:cat>
            <c:strRef>
              <c:f>RASM!$L$2:$AJ$2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RASM!$L$11:$AJ$11</c:f>
              <c:numCache>
                <c:formatCode>0.000_);[Red]\(0.000\)</c:formatCode>
                <c:ptCount val="25"/>
                <c:pt idx="0" formatCode="General">
                  <c:v>0</c:v>
                </c:pt>
                <c:pt idx="1">
                  <c:v>1.9527631358246381E-2</c:v>
                </c:pt>
                <c:pt idx="2">
                  <c:v>6.9509520045694079E-2</c:v>
                </c:pt>
                <c:pt idx="3">
                  <c:v>4.5926479094908518E-2</c:v>
                </c:pt>
                <c:pt idx="4">
                  <c:v>5.1047599989984316E-2</c:v>
                </c:pt>
                <c:pt idx="5">
                  <c:v>6.6031434020098145E-2</c:v>
                </c:pt>
                <c:pt idx="6">
                  <c:v>3.8351863509218626E-2</c:v>
                </c:pt>
                <c:pt idx="7">
                  <c:v>0.12023434099382137</c:v>
                </c:pt>
                <c:pt idx="8">
                  <c:v>0.25996459587876852</c:v>
                </c:pt>
                <c:pt idx="9">
                  <c:v>0.28269135284809721</c:v>
                </c:pt>
                <c:pt idx="10">
                  <c:v>0.34627495435802547</c:v>
                </c:pt>
                <c:pt idx="11">
                  <c:v>0.33192715659589522</c:v>
                </c:pt>
                <c:pt idx="12">
                  <c:v>0.1872562551526602</c:v>
                </c:pt>
                <c:pt idx="13">
                  <c:v>0.17128886424045464</c:v>
                </c:pt>
                <c:pt idx="14">
                  <c:v>0.30053893595671904</c:v>
                </c:pt>
                <c:pt idx="15">
                  <c:v>0.20481104557320365</c:v>
                </c:pt>
                <c:pt idx="16">
                  <c:v>0.21272646209939497</c:v>
                </c:pt>
                <c:pt idx="17">
                  <c:v>0.26975706196948418</c:v>
                </c:pt>
                <c:pt idx="18">
                  <c:v>0.21764199467725823</c:v>
                </c:pt>
                <c:pt idx="19">
                  <c:v>0.21631403998112972</c:v>
                </c:pt>
                <c:pt idx="20">
                  <c:v>0.35409297753572594</c:v>
                </c:pt>
                <c:pt idx="21">
                  <c:v>0.4446504503381889</c:v>
                </c:pt>
                <c:pt idx="22">
                  <c:v>0.42202033943896206</c:v>
                </c:pt>
                <c:pt idx="23">
                  <c:v>0.39948926782926586</c:v>
                </c:pt>
                <c:pt idx="24">
                  <c:v>0.26364462106004422</c:v>
                </c:pt>
              </c:numCache>
            </c:numRef>
          </c:val>
          <c:smooth val="0"/>
          <c:extLst>
            <c:ext xmlns:c16="http://schemas.microsoft.com/office/drawing/2014/chart" uri="{C3380CC4-5D6E-409C-BE32-E72D297353CC}">
              <c16:uniqueId val="{00000000-8E92-7345-B3FF-6FF64D57A77D}"/>
            </c:ext>
          </c:extLst>
        </c:ser>
        <c:ser>
          <c:idx val="1"/>
          <c:order val="1"/>
          <c:tx>
            <c:strRef>
              <c:f>RASM!$J$15:$K$15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RASM!$L$2:$AJ$2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RASM!$L$24:$AJ$24</c:f>
              <c:numCache>
                <c:formatCode>0.000_);[Red]\(0.000\)</c:formatCode>
                <c:ptCount val="25"/>
                <c:pt idx="0" formatCode="General">
                  <c:v>0</c:v>
                </c:pt>
                <c:pt idx="1">
                  <c:v>-0.1185465866521121</c:v>
                </c:pt>
                <c:pt idx="2">
                  <c:v>-0.1063102801273418</c:v>
                </c:pt>
                <c:pt idx="3">
                  <c:v>-0.11810245956254339</c:v>
                </c:pt>
                <c:pt idx="4">
                  <c:v>-5.9203520410332583E-2</c:v>
                </c:pt>
                <c:pt idx="5">
                  <c:v>-0.16348963449291656</c:v>
                </c:pt>
                <c:pt idx="6">
                  <c:v>-0.22109975568670526</c:v>
                </c:pt>
                <c:pt idx="7">
                  <c:v>-0.19892060764598157</c:v>
                </c:pt>
                <c:pt idx="8">
                  <c:v>-0.10668749222795154</c:v>
                </c:pt>
                <c:pt idx="9">
                  <c:v>-4.1267354518268851E-2</c:v>
                </c:pt>
                <c:pt idx="10">
                  <c:v>2.5221811167637234E-2</c:v>
                </c:pt>
                <c:pt idx="11">
                  <c:v>6.8433106272154931E-3</c:v>
                </c:pt>
                <c:pt idx="12">
                  <c:v>-0.1615292941327785</c:v>
                </c:pt>
                <c:pt idx="13">
                  <c:v>-0.25032157170827912</c:v>
                </c:pt>
                <c:pt idx="14">
                  <c:v>-0.13939264598150136</c:v>
                </c:pt>
                <c:pt idx="15">
                  <c:v>-0.35345331679127234</c:v>
                </c:pt>
                <c:pt idx="16">
                  <c:v>-0.35872509619339782</c:v>
                </c:pt>
                <c:pt idx="17">
                  <c:v>-0.43505613401786519</c:v>
                </c:pt>
                <c:pt idx="18">
                  <c:v>-0.42881040301340789</c:v>
                </c:pt>
                <c:pt idx="19">
                  <c:v>-0.43794607488267018</c:v>
                </c:pt>
                <c:pt idx="20">
                  <c:v>-0.3557144905483221</c:v>
                </c:pt>
                <c:pt idx="21">
                  <c:v>-0.24893177700503777</c:v>
                </c:pt>
                <c:pt idx="22">
                  <c:v>-0.21797388544668628</c:v>
                </c:pt>
                <c:pt idx="23">
                  <c:v>-0.24229104391645237</c:v>
                </c:pt>
                <c:pt idx="24">
                  <c:v>-0.37731397001249523</c:v>
                </c:pt>
              </c:numCache>
            </c:numRef>
          </c:val>
          <c:smooth val="0"/>
          <c:extLst>
            <c:ext xmlns:c16="http://schemas.microsoft.com/office/drawing/2014/chart" uri="{C3380CC4-5D6E-409C-BE32-E72D297353CC}">
              <c16:uniqueId val="{00000001-8E92-7345-B3FF-6FF64D57A77D}"/>
            </c:ext>
          </c:extLst>
        </c:ser>
        <c:ser>
          <c:idx val="2"/>
          <c:order val="2"/>
          <c:tx>
            <c:strRef>
              <c:f>RASM!$J$26:$K$26</c:f>
              <c:strCache>
                <c:ptCount val="2"/>
                <c:pt idx="0">
                  <c:v>S&amp;P 500</c:v>
                </c:pt>
              </c:strCache>
            </c:strRef>
          </c:tx>
          <c:spPr>
            <a:ln w="28575">
              <a:solidFill>
                <a:schemeClr val="accent4"/>
              </a:solidFill>
            </a:ln>
          </c:spPr>
          <c:marker>
            <c:symbol val="none"/>
          </c:marker>
          <c:cat>
            <c:strRef>
              <c:f>RASM!$L$2:$AJ$2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RASM!$L$31:$AJ$31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8E92-7345-B3FF-6FF64D57A77D}"/>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3000" b="1" i="0" u="none" strike="noStrike">
                <a:effectLst/>
              </a:rPr>
              <a:t>RASM (Revenue per available seat mile)</a:t>
            </a:r>
            <a:r>
              <a:rPr lang="ko-KR" altLang="ko-KR" sz="3000">
                <a:effectLst/>
              </a:rPr>
              <a:t> </a:t>
            </a:r>
          </a:p>
        </c:rich>
      </c:tx>
      <c:overlay val="0"/>
      <c:spPr>
        <a:noFill/>
        <a:ln>
          <a:noFill/>
        </a:ln>
        <a:effectLst/>
      </c:spPr>
    </c:title>
    <c:autoTitleDeleted val="0"/>
    <c:plotArea>
      <c:layout>
        <c:manualLayout>
          <c:layoutTarget val="inner"/>
          <c:xMode val="edge"/>
          <c:yMode val="edge"/>
          <c:x val="0.11273578859338995"/>
          <c:y val="0.13371204096398065"/>
          <c:w val="0.73197923430302936"/>
          <c:h val="0.73600796748814845"/>
        </c:manualLayout>
      </c:layout>
      <c:lineChart>
        <c:grouping val="standard"/>
        <c:varyColors val="0"/>
        <c:ser>
          <c:idx val="0"/>
          <c:order val="0"/>
          <c:tx>
            <c:strRef>
              <c:f>RASM!$J$2:$K$2</c:f>
              <c:strCache>
                <c:ptCount val="2"/>
                <c:pt idx="0">
                  <c:v>GOOD</c:v>
                </c:pt>
              </c:strCache>
            </c:strRef>
          </c:tx>
          <c:spPr>
            <a:ln w="28575" cap="rnd" cmpd="sng">
              <a:solidFill>
                <a:srgbClr val="FF0000"/>
              </a:solidFill>
              <a:round/>
            </a:ln>
            <a:effectLst/>
          </c:spPr>
          <c:marker>
            <c:symbol val="none"/>
          </c:marker>
          <c:cat>
            <c:strRef>
              <c:f>RASM!$L$2:$AJ$2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RASM!$L$11:$AJ$11</c:f>
              <c:numCache>
                <c:formatCode>0.000_);[Red]\(0.000\)</c:formatCode>
                <c:ptCount val="25"/>
                <c:pt idx="0" formatCode="General">
                  <c:v>0</c:v>
                </c:pt>
                <c:pt idx="1">
                  <c:v>1.9527631358246381E-2</c:v>
                </c:pt>
                <c:pt idx="2">
                  <c:v>6.9509520045694079E-2</c:v>
                </c:pt>
                <c:pt idx="3">
                  <c:v>4.5926479094908518E-2</c:v>
                </c:pt>
                <c:pt idx="4">
                  <c:v>5.1047599989984316E-2</c:v>
                </c:pt>
                <c:pt idx="5">
                  <c:v>6.6031434020098145E-2</c:v>
                </c:pt>
                <c:pt idx="6">
                  <c:v>3.8351863509218626E-2</c:v>
                </c:pt>
                <c:pt idx="7">
                  <c:v>0.12023434099382137</c:v>
                </c:pt>
                <c:pt idx="8">
                  <c:v>0.25996459587876852</c:v>
                </c:pt>
                <c:pt idx="9">
                  <c:v>0.28269135284809721</c:v>
                </c:pt>
                <c:pt idx="10">
                  <c:v>0.34627495435802547</c:v>
                </c:pt>
                <c:pt idx="11">
                  <c:v>0.33192715659589522</c:v>
                </c:pt>
                <c:pt idx="12">
                  <c:v>0.1872562551526602</c:v>
                </c:pt>
                <c:pt idx="13">
                  <c:v>0.17128886424045464</c:v>
                </c:pt>
                <c:pt idx="14">
                  <c:v>0.30053893595671904</c:v>
                </c:pt>
                <c:pt idx="15">
                  <c:v>0.20481104557320365</c:v>
                </c:pt>
                <c:pt idx="16">
                  <c:v>0.21272646209939497</c:v>
                </c:pt>
                <c:pt idx="17">
                  <c:v>0.26975706196948418</c:v>
                </c:pt>
                <c:pt idx="18">
                  <c:v>0.21764199467725823</c:v>
                </c:pt>
                <c:pt idx="19">
                  <c:v>0.21631403998112972</c:v>
                </c:pt>
                <c:pt idx="20">
                  <c:v>0.35409297753572594</c:v>
                </c:pt>
                <c:pt idx="21">
                  <c:v>0.4446504503381889</c:v>
                </c:pt>
                <c:pt idx="22">
                  <c:v>0.42202033943896206</c:v>
                </c:pt>
                <c:pt idx="23">
                  <c:v>0.39948926782926586</c:v>
                </c:pt>
                <c:pt idx="24">
                  <c:v>0.26364462106004422</c:v>
                </c:pt>
              </c:numCache>
            </c:numRef>
          </c:val>
          <c:smooth val="0"/>
          <c:extLst>
            <c:ext xmlns:c16="http://schemas.microsoft.com/office/drawing/2014/chart" uri="{C3380CC4-5D6E-409C-BE32-E72D297353CC}">
              <c16:uniqueId val="{00000000-CE3B-BD46-BD21-B8CBCAFFDE3B}"/>
            </c:ext>
          </c:extLst>
        </c:ser>
        <c:ser>
          <c:idx val="1"/>
          <c:order val="1"/>
          <c:tx>
            <c:strRef>
              <c:f>RASM!$J$15:$K$15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RASM!$L$2:$AJ$2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RASM!$L$24:$AJ$24</c:f>
              <c:numCache>
                <c:formatCode>0.000_);[Red]\(0.000\)</c:formatCode>
                <c:ptCount val="25"/>
                <c:pt idx="0" formatCode="General">
                  <c:v>0</c:v>
                </c:pt>
                <c:pt idx="1">
                  <c:v>-0.1185465866521121</c:v>
                </c:pt>
                <c:pt idx="2">
                  <c:v>-0.1063102801273418</c:v>
                </c:pt>
                <c:pt idx="3">
                  <c:v>-0.11810245956254339</c:v>
                </c:pt>
                <c:pt idx="4">
                  <c:v>-5.9203520410332583E-2</c:v>
                </c:pt>
                <c:pt idx="5">
                  <c:v>-0.16348963449291656</c:v>
                </c:pt>
                <c:pt idx="6">
                  <c:v>-0.22109975568670526</c:v>
                </c:pt>
                <c:pt idx="7">
                  <c:v>-0.19892060764598157</c:v>
                </c:pt>
                <c:pt idx="8">
                  <c:v>-0.10668749222795154</c:v>
                </c:pt>
                <c:pt idx="9">
                  <c:v>-4.1267354518268851E-2</c:v>
                </c:pt>
                <c:pt idx="10">
                  <c:v>2.5221811167637234E-2</c:v>
                </c:pt>
                <c:pt idx="11">
                  <c:v>6.8433106272154931E-3</c:v>
                </c:pt>
                <c:pt idx="12">
                  <c:v>-0.1615292941327785</c:v>
                </c:pt>
                <c:pt idx="13">
                  <c:v>-0.25032157170827912</c:v>
                </c:pt>
                <c:pt idx="14">
                  <c:v>-0.13939264598150136</c:v>
                </c:pt>
                <c:pt idx="15">
                  <c:v>-0.35345331679127234</c:v>
                </c:pt>
                <c:pt idx="16">
                  <c:v>-0.35872509619339782</c:v>
                </c:pt>
                <c:pt idx="17">
                  <c:v>-0.43505613401786519</c:v>
                </c:pt>
                <c:pt idx="18">
                  <c:v>-0.42881040301340789</c:v>
                </c:pt>
                <c:pt idx="19">
                  <c:v>-0.43794607488267018</c:v>
                </c:pt>
                <c:pt idx="20">
                  <c:v>-0.3557144905483221</c:v>
                </c:pt>
                <c:pt idx="21">
                  <c:v>-0.24893177700503777</c:v>
                </c:pt>
                <c:pt idx="22">
                  <c:v>-0.21797388544668628</c:v>
                </c:pt>
                <c:pt idx="23">
                  <c:v>-0.24229104391645237</c:v>
                </c:pt>
                <c:pt idx="24">
                  <c:v>-0.37731397001249523</c:v>
                </c:pt>
              </c:numCache>
            </c:numRef>
          </c:val>
          <c:smooth val="0"/>
          <c:extLst>
            <c:ext xmlns:c16="http://schemas.microsoft.com/office/drawing/2014/chart" uri="{C3380CC4-5D6E-409C-BE32-E72D297353CC}">
              <c16:uniqueId val="{00000001-CE3B-BD46-BD21-B8CBCAFFDE3B}"/>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3000" b="1" i="0" u="none" strike="noStrike">
                <a:effectLst/>
              </a:rPr>
              <a:t>RASM (Revenue per available seat mile)</a:t>
            </a:r>
            <a:r>
              <a:rPr lang="ko-KR" altLang="ko-KR" sz="3000">
                <a:effectLst/>
              </a:rPr>
              <a:t> </a:t>
            </a:r>
          </a:p>
        </c:rich>
      </c:tx>
      <c:overlay val="0"/>
      <c:spPr>
        <a:noFill/>
        <a:ln>
          <a:noFill/>
        </a:ln>
        <a:effectLst/>
      </c:spPr>
    </c:title>
    <c:autoTitleDeleted val="0"/>
    <c:plotArea>
      <c:layout>
        <c:manualLayout>
          <c:layoutTarget val="inner"/>
          <c:xMode val="edge"/>
          <c:yMode val="edge"/>
          <c:x val="6.404548532482833E-2"/>
          <c:y val="0.13371204096398065"/>
          <c:w val="0.73197923430302936"/>
          <c:h val="0.73600796748814845"/>
        </c:manualLayout>
      </c:layout>
      <c:lineChart>
        <c:grouping val="standard"/>
        <c:varyColors val="0"/>
        <c:ser>
          <c:idx val="0"/>
          <c:order val="0"/>
          <c:tx>
            <c:strRef>
              <c:f>RASM!$J$2:$K$2</c:f>
              <c:strCache>
                <c:ptCount val="2"/>
                <c:pt idx="0">
                  <c:v>GOOD</c:v>
                </c:pt>
              </c:strCache>
            </c:strRef>
          </c:tx>
          <c:spPr>
            <a:ln w="28575" cap="rnd" cmpd="sng">
              <a:solidFill>
                <a:srgbClr val="FF0000"/>
              </a:solidFill>
              <a:round/>
            </a:ln>
            <a:effectLst/>
          </c:spPr>
          <c:marker>
            <c:symbol val="none"/>
          </c:marker>
          <c:cat>
            <c:strRef>
              <c:f>RASM!$L$2:$AJ$2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RASM!$L$11:$AJ$11</c:f>
              <c:numCache>
                <c:formatCode>0.000_);[Red]\(0.000\)</c:formatCode>
                <c:ptCount val="25"/>
                <c:pt idx="0" formatCode="General">
                  <c:v>0</c:v>
                </c:pt>
                <c:pt idx="1">
                  <c:v>1.9527631358246381E-2</c:v>
                </c:pt>
                <c:pt idx="2">
                  <c:v>6.9509520045694079E-2</c:v>
                </c:pt>
                <c:pt idx="3">
                  <c:v>4.5926479094908518E-2</c:v>
                </c:pt>
                <c:pt idx="4">
                  <c:v>5.1047599989984316E-2</c:v>
                </c:pt>
                <c:pt idx="5">
                  <c:v>6.6031434020098145E-2</c:v>
                </c:pt>
                <c:pt idx="6">
                  <c:v>3.8351863509218626E-2</c:v>
                </c:pt>
                <c:pt idx="7">
                  <c:v>0.12023434099382137</c:v>
                </c:pt>
                <c:pt idx="8">
                  <c:v>0.25996459587876852</c:v>
                </c:pt>
                <c:pt idx="9">
                  <c:v>0.28269135284809721</c:v>
                </c:pt>
                <c:pt idx="10">
                  <c:v>0.34627495435802547</c:v>
                </c:pt>
                <c:pt idx="11">
                  <c:v>0.33192715659589522</c:v>
                </c:pt>
                <c:pt idx="12">
                  <c:v>0.1872562551526602</c:v>
                </c:pt>
                <c:pt idx="13">
                  <c:v>0.17128886424045464</c:v>
                </c:pt>
                <c:pt idx="14">
                  <c:v>0.30053893595671904</c:v>
                </c:pt>
                <c:pt idx="15">
                  <c:v>0.20481104557320365</c:v>
                </c:pt>
                <c:pt idx="16">
                  <c:v>0.21272646209939497</c:v>
                </c:pt>
                <c:pt idx="17">
                  <c:v>0.26975706196948418</c:v>
                </c:pt>
                <c:pt idx="18">
                  <c:v>0.21764199467725823</c:v>
                </c:pt>
                <c:pt idx="19">
                  <c:v>0.21631403998112972</c:v>
                </c:pt>
                <c:pt idx="20">
                  <c:v>0.35409297753572594</c:v>
                </c:pt>
                <c:pt idx="21">
                  <c:v>0.4446504503381889</c:v>
                </c:pt>
                <c:pt idx="22">
                  <c:v>0.42202033943896206</c:v>
                </c:pt>
                <c:pt idx="23">
                  <c:v>0.39948926782926586</c:v>
                </c:pt>
                <c:pt idx="24">
                  <c:v>0.26364462106004422</c:v>
                </c:pt>
              </c:numCache>
            </c:numRef>
          </c:val>
          <c:smooth val="0"/>
          <c:extLst>
            <c:ext xmlns:c16="http://schemas.microsoft.com/office/drawing/2014/chart" uri="{C3380CC4-5D6E-409C-BE32-E72D297353CC}">
              <c16:uniqueId val="{00000000-0AF1-F440-A3FF-3A3AC032DB4E}"/>
            </c:ext>
          </c:extLst>
        </c:ser>
        <c:ser>
          <c:idx val="1"/>
          <c:order val="1"/>
          <c:tx>
            <c:strRef>
              <c:f>RASM!$J$15:$K$15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RASM!$L$2:$AJ$2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RASM!$L$24:$AJ$24</c:f>
              <c:numCache>
                <c:formatCode>0.000_);[Red]\(0.000\)</c:formatCode>
                <c:ptCount val="25"/>
                <c:pt idx="0" formatCode="General">
                  <c:v>0</c:v>
                </c:pt>
                <c:pt idx="1">
                  <c:v>-0.1185465866521121</c:v>
                </c:pt>
                <c:pt idx="2">
                  <c:v>-0.1063102801273418</c:v>
                </c:pt>
                <c:pt idx="3">
                  <c:v>-0.11810245956254339</c:v>
                </c:pt>
                <c:pt idx="4">
                  <c:v>-5.9203520410332583E-2</c:v>
                </c:pt>
                <c:pt idx="5">
                  <c:v>-0.16348963449291656</c:v>
                </c:pt>
                <c:pt idx="6">
                  <c:v>-0.22109975568670526</c:v>
                </c:pt>
                <c:pt idx="7">
                  <c:v>-0.19892060764598157</c:v>
                </c:pt>
                <c:pt idx="8">
                  <c:v>-0.10668749222795154</c:v>
                </c:pt>
                <c:pt idx="9">
                  <c:v>-4.1267354518268851E-2</c:v>
                </c:pt>
                <c:pt idx="10">
                  <c:v>2.5221811167637234E-2</c:v>
                </c:pt>
                <c:pt idx="11">
                  <c:v>6.8433106272154931E-3</c:v>
                </c:pt>
                <c:pt idx="12">
                  <c:v>-0.1615292941327785</c:v>
                </c:pt>
                <c:pt idx="13">
                  <c:v>-0.25032157170827912</c:v>
                </c:pt>
                <c:pt idx="14">
                  <c:v>-0.13939264598150136</c:v>
                </c:pt>
                <c:pt idx="15">
                  <c:v>-0.35345331679127234</c:v>
                </c:pt>
                <c:pt idx="16">
                  <c:v>-0.35872509619339782</c:v>
                </c:pt>
                <c:pt idx="17">
                  <c:v>-0.43505613401786519</c:v>
                </c:pt>
                <c:pt idx="18">
                  <c:v>-0.42881040301340789</c:v>
                </c:pt>
                <c:pt idx="19">
                  <c:v>-0.43794607488267018</c:v>
                </c:pt>
                <c:pt idx="20">
                  <c:v>-0.3557144905483221</c:v>
                </c:pt>
                <c:pt idx="21">
                  <c:v>-0.24893177700503777</c:v>
                </c:pt>
                <c:pt idx="22">
                  <c:v>-0.21797388544668628</c:v>
                </c:pt>
                <c:pt idx="23">
                  <c:v>-0.24229104391645237</c:v>
                </c:pt>
                <c:pt idx="24">
                  <c:v>-0.37731397001249523</c:v>
                </c:pt>
              </c:numCache>
            </c:numRef>
          </c:val>
          <c:smooth val="0"/>
          <c:extLst>
            <c:ext xmlns:c16="http://schemas.microsoft.com/office/drawing/2014/chart" uri="{C3380CC4-5D6E-409C-BE32-E72D297353CC}">
              <c16:uniqueId val="{00000001-0AF1-F440-A3FF-3A3AC032DB4E}"/>
            </c:ext>
          </c:extLst>
        </c:ser>
        <c:ser>
          <c:idx val="2"/>
          <c:order val="2"/>
          <c:tx>
            <c:strRef>
              <c:f>RASM!$J$68:$K$68</c:f>
              <c:strCache>
                <c:ptCount val="2"/>
                <c:pt idx="0">
                  <c:v>Industry average</c:v>
                </c:pt>
              </c:strCache>
            </c:strRef>
          </c:tx>
          <c:spPr>
            <a:ln w="28575">
              <a:solidFill>
                <a:schemeClr val="accent6"/>
              </a:solidFill>
            </a:ln>
          </c:spPr>
          <c:marker>
            <c:symbol val="none"/>
          </c:marker>
          <c:cat>
            <c:strRef>
              <c:f>RASM!$L$2:$AJ$2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RASM!$L$73:$AJ$73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0AF1-F440-A3FF-3A3AC032DB4E}"/>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79973171062917714"/>
          <c:y val="0.11553330855028494"/>
          <c:w val="0.20026828937082289"/>
          <c:h val="0.15617917344536336"/>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3000" b="1" i="0" u="none" strike="noStrike">
                <a:effectLst/>
              </a:rPr>
              <a:t>Load factor</a:t>
            </a:r>
            <a:r>
              <a:rPr lang="ko-KR" altLang="ko-KR" sz="3000">
                <a:effectLst/>
              </a:rPr>
              <a:t> </a:t>
            </a:r>
          </a:p>
        </c:rich>
      </c:tx>
      <c:overlay val="0"/>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'Load factor'!$J$2:$K$2</c:f>
              <c:strCache>
                <c:ptCount val="2"/>
                <c:pt idx="0">
                  <c:v>GOOD</c:v>
                </c:pt>
              </c:strCache>
            </c:strRef>
          </c:tx>
          <c:spPr>
            <a:ln w="28575" cap="rnd" cmpd="sng">
              <a:solidFill>
                <a:srgbClr val="FF0000"/>
              </a:solidFill>
              <a:round/>
            </a:ln>
            <a:effectLst/>
          </c:spPr>
          <c:marker>
            <c:symbol val="none"/>
          </c:marker>
          <c:cat>
            <c:strRef>
              <c:f>'Load factor'!$L$2:$AJ$2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'Load factor'!$L$11:$AJ$11</c:f>
              <c:numCache>
                <c:formatCode>0.000_);[Red]\(0.000\)</c:formatCode>
                <c:ptCount val="25"/>
                <c:pt idx="0" formatCode="General">
                  <c:v>0</c:v>
                </c:pt>
                <c:pt idx="1">
                  <c:v>-4.2960787811712094E-3</c:v>
                </c:pt>
                <c:pt idx="2">
                  <c:v>2.3175045699004401E-2</c:v>
                </c:pt>
                <c:pt idx="3">
                  <c:v>1.2417017464130195E-2</c:v>
                </c:pt>
                <c:pt idx="4">
                  <c:v>3.650928238963877E-2</c:v>
                </c:pt>
                <c:pt idx="5">
                  <c:v>-1.1120809259350467E-2</c:v>
                </c:pt>
                <c:pt idx="6">
                  <c:v>-3.7986254559437493E-2</c:v>
                </c:pt>
                <c:pt idx="7">
                  <c:v>3.0892664007453247E-2</c:v>
                </c:pt>
                <c:pt idx="8">
                  <c:v>0.1743395875890012</c:v>
                </c:pt>
                <c:pt idx="9">
                  <c:v>0.22430881484195211</c:v>
                </c:pt>
                <c:pt idx="10">
                  <c:v>0.2474401406828535</c:v>
                </c:pt>
                <c:pt idx="11">
                  <c:v>0.16438045267840024</c:v>
                </c:pt>
                <c:pt idx="12">
                  <c:v>4.9610241008963732E-2</c:v>
                </c:pt>
                <c:pt idx="13">
                  <c:v>-2.3961442553105394E-4</c:v>
                </c:pt>
                <c:pt idx="14">
                  <c:v>0.1247805304695648</c:v>
                </c:pt>
                <c:pt idx="15">
                  <c:v>-4.8131832620972891E-2</c:v>
                </c:pt>
                <c:pt idx="16">
                  <c:v>-4.3522054926151653E-2</c:v>
                </c:pt>
                <c:pt idx="17">
                  <c:v>-2.053131952976946E-2</c:v>
                </c:pt>
                <c:pt idx="18">
                  <c:v>-2.813903878526965E-2</c:v>
                </c:pt>
                <c:pt idx="19">
                  <c:v>-3.6766673891035717E-2</c:v>
                </c:pt>
                <c:pt idx="20">
                  <c:v>9.6031809130137924E-2</c:v>
                </c:pt>
                <c:pt idx="21">
                  <c:v>0.2466913647888489</c:v>
                </c:pt>
                <c:pt idx="22">
                  <c:v>0.27940161469859665</c:v>
                </c:pt>
                <c:pt idx="23">
                  <c:v>0.29506230808832407</c:v>
                </c:pt>
                <c:pt idx="24">
                  <c:v>4.3674182350063595E-2</c:v>
                </c:pt>
              </c:numCache>
            </c:numRef>
          </c:val>
          <c:smooth val="0"/>
          <c:extLst>
            <c:ext xmlns:c16="http://schemas.microsoft.com/office/drawing/2014/chart" uri="{C3380CC4-5D6E-409C-BE32-E72D297353CC}">
              <c16:uniqueId val="{00000000-6C62-0048-BA84-C87FE66053D2}"/>
            </c:ext>
          </c:extLst>
        </c:ser>
        <c:ser>
          <c:idx val="1"/>
          <c:order val="1"/>
          <c:tx>
            <c:strRef>
              <c:f>'Load factor'!$J$15:$K$15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'Load factor'!$L$2:$AJ$2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'Load factor'!$L$24:$AJ$24</c:f>
              <c:numCache>
                <c:formatCode>0.000_);[Red]\(0.000\)</c:formatCode>
                <c:ptCount val="25"/>
                <c:pt idx="0" formatCode="General">
                  <c:v>0</c:v>
                </c:pt>
                <c:pt idx="1">
                  <c:v>-8.8118157078158177E-2</c:v>
                </c:pt>
                <c:pt idx="2">
                  <c:v>-6.4637399496770082E-2</c:v>
                </c:pt>
                <c:pt idx="3">
                  <c:v>-0.10300921957495328</c:v>
                </c:pt>
                <c:pt idx="4">
                  <c:v>-9.3275052857404658E-2</c:v>
                </c:pt>
                <c:pt idx="5">
                  <c:v>-0.13033319620167638</c:v>
                </c:pt>
                <c:pt idx="6">
                  <c:v>-0.20696538416465959</c:v>
                </c:pt>
                <c:pt idx="7">
                  <c:v>-0.22476204100302866</c:v>
                </c:pt>
                <c:pt idx="8">
                  <c:v>-0.14122598923436014</c:v>
                </c:pt>
                <c:pt idx="9">
                  <c:v>-7.7293370961500851E-2</c:v>
                </c:pt>
                <c:pt idx="10">
                  <c:v>-4.4790877396476553E-2</c:v>
                </c:pt>
                <c:pt idx="11">
                  <c:v>-1.5055755330276741E-2</c:v>
                </c:pt>
                <c:pt idx="12">
                  <c:v>-0.10299257866035347</c:v>
                </c:pt>
                <c:pt idx="13">
                  <c:v>-0.13585248944223383</c:v>
                </c:pt>
                <c:pt idx="14">
                  <c:v>-1.2661294316167984E-2</c:v>
                </c:pt>
                <c:pt idx="15">
                  <c:v>-9.0924750363586007E-2</c:v>
                </c:pt>
                <c:pt idx="16">
                  <c:v>-0.13284300763470291</c:v>
                </c:pt>
                <c:pt idx="17">
                  <c:v>-0.16088025207282627</c:v>
                </c:pt>
                <c:pt idx="18">
                  <c:v>-0.14830048628700801</c:v>
                </c:pt>
                <c:pt idx="19">
                  <c:v>-7.8942932434792834E-2</c:v>
                </c:pt>
                <c:pt idx="20">
                  <c:v>4.9905316582700664E-2</c:v>
                </c:pt>
                <c:pt idx="21">
                  <c:v>0.15464093059050601</c:v>
                </c:pt>
                <c:pt idx="22">
                  <c:v>0.2169466423210086</c:v>
                </c:pt>
                <c:pt idx="23">
                  <c:v>0.16604797526260981</c:v>
                </c:pt>
                <c:pt idx="24">
                  <c:v>-4.3390201763662962E-2</c:v>
                </c:pt>
              </c:numCache>
            </c:numRef>
          </c:val>
          <c:smooth val="0"/>
          <c:extLst>
            <c:ext xmlns:c16="http://schemas.microsoft.com/office/drawing/2014/chart" uri="{C3380CC4-5D6E-409C-BE32-E72D297353CC}">
              <c16:uniqueId val="{00000001-6C62-0048-BA84-C87FE66053D2}"/>
            </c:ext>
          </c:extLst>
        </c:ser>
        <c:ser>
          <c:idx val="2"/>
          <c:order val="2"/>
          <c:tx>
            <c:strRef>
              <c:f>'Load factor'!$J$26:$K$26</c:f>
              <c:strCache>
                <c:ptCount val="2"/>
                <c:pt idx="0">
                  <c:v>S&amp;P 500</c:v>
                </c:pt>
              </c:strCache>
            </c:strRef>
          </c:tx>
          <c:spPr>
            <a:ln w="28575">
              <a:solidFill>
                <a:schemeClr val="accent4"/>
              </a:solidFill>
            </a:ln>
          </c:spPr>
          <c:marker>
            <c:symbol val="none"/>
          </c:marker>
          <c:cat>
            <c:strRef>
              <c:f>'Load factor'!$L$2:$AJ$2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'Load factor'!$L$31:$AJ$31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6C62-0048-BA84-C87FE66053D2}"/>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3000" b="1" i="0" u="none" strike="noStrike">
                <a:effectLst/>
              </a:rPr>
              <a:t>Load factor</a:t>
            </a:r>
            <a:r>
              <a:rPr lang="ko-KR" altLang="ko-KR" sz="3000">
                <a:effectLst/>
              </a:rPr>
              <a:t> </a:t>
            </a:r>
          </a:p>
        </c:rich>
      </c:tx>
      <c:overlay val="0"/>
      <c:spPr>
        <a:noFill/>
        <a:ln>
          <a:noFill/>
        </a:ln>
        <a:effectLst/>
      </c:spPr>
    </c:title>
    <c:autoTitleDeleted val="0"/>
    <c:plotArea>
      <c:layout>
        <c:manualLayout>
          <c:layoutTarget val="inner"/>
          <c:xMode val="edge"/>
          <c:yMode val="edge"/>
          <c:x val="0.11844383216756484"/>
          <c:y val="0.12736638139512574"/>
          <c:w val="0.73197923430302936"/>
          <c:h val="0.73600796748814845"/>
        </c:manualLayout>
      </c:layout>
      <c:lineChart>
        <c:grouping val="standard"/>
        <c:varyColors val="0"/>
        <c:ser>
          <c:idx val="0"/>
          <c:order val="0"/>
          <c:tx>
            <c:strRef>
              <c:f>'Load factor'!$J$2:$K$2</c:f>
              <c:strCache>
                <c:ptCount val="2"/>
                <c:pt idx="0">
                  <c:v>GOOD</c:v>
                </c:pt>
              </c:strCache>
            </c:strRef>
          </c:tx>
          <c:spPr>
            <a:ln w="28575" cap="rnd" cmpd="sng">
              <a:solidFill>
                <a:srgbClr val="FF0000"/>
              </a:solidFill>
              <a:round/>
            </a:ln>
            <a:effectLst/>
          </c:spPr>
          <c:marker>
            <c:symbol val="none"/>
          </c:marker>
          <c:cat>
            <c:strRef>
              <c:f>'Load factor'!$L$2:$AJ$2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'Load factor'!$L$11:$AJ$11</c:f>
              <c:numCache>
                <c:formatCode>0.000_);[Red]\(0.000\)</c:formatCode>
                <c:ptCount val="25"/>
                <c:pt idx="0" formatCode="General">
                  <c:v>0</c:v>
                </c:pt>
                <c:pt idx="1">
                  <c:v>-4.2960787811712094E-3</c:v>
                </c:pt>
                <c:pt idx="2">
                  <c:v>2.3175045699004401E-2</c:v>
                </c:pt>
                <c:pt idx="3">
                  <c:v>1.2417017464130195E-2</c:v>
                </c:pt>
                <c:pt idx="4">
                  <c:v>3.650928238963877E-2</c:v>
                </c:pt>
                <c:pt idx="5">
                  <c:v>-1.1120809259350467E-2</c:v>
                </c:pt>
                <c:pt idx="6">
                  <c:v>-3.7986254559437493E-2</c:v>
                </c:pt>
                <c:pt idx="7">
                  <c:v>3.0892664007453247E-2</c:v>
                </c:pt>
                <c:pt idx="8">
                  <c:v>0.1743395875890012</c:v>
                </c:pt>
                <c:pt idx="9">
                  <c:v>0.22430881484195211</c:v>
                </c:pt>
                <c:pt idx="10">
                  <c:v>0.2474401406828535</c:v>
                </c:pt>
                <c:pt idx="11">
                  <c:v>0.16438045267840024</c:v>
                </c:pt>
                <c:pt idx="12">
                  <c:v>4.9610241008963732E-2</c:v>
                </c:pt>
                <c:pt idx="13">
                  <c:v>-2.3961442553105394E-4</c:v>
                </c:pt>
                <c:pt idx="14">
                  <c:v>0.1247805304695648</c:v>
                </c:pt>
                <c:pt idx="15">
                  <c:v>-4.8131832620972891E-2</c:v>
                </c:pt>
                <c:pt idx="16">
                  <c:v>-4.3522054926151653E-2</c:v>
                </c:pt>
                <c:pt idx="17">
                  <c:v>-2.053131952976946E-2</c:v>
                </c:pt>
                <c:pt idx="18">
                  <c:v>-2.813903878526965E-2</c:v>
                </c:pt>
                <c:pt idx="19">
                  <c:v>-3.6766673891035717E-2</c:v>
                </c:pt>
                <c:pt idx="20">
                  <c:v>9.6031809130137924E-2</c:v>
                </c:pt>
                <c:pt idx="21">
                  <c:v>0.2466913647888489</c:v>
                </c:pt>
                <c:pt idx="22">
                  <c:v>0.27940161469859665</c:v>
                </c:pt>
                <c:pt idx="23">
                  <c:v>0.29506230808832407</c:v>
                </c:pt>
                <c:pt idx="24">
                  <c:v>4.3674182350063595E-2</c:v>
                </c:pt>
              </c:numCache>
            </c:numRef>
          </c:val>
          <c:smooth val="0"/>
          <c:extLst>
            <c:ext xmlns:c16="http://schemas.microsoft.com/office/drawing/2014/chart" uri="{C3380CC4-5D6E-409C-BE32-E72D297353CC}">
              <c16:uniqueId val="{00000000-9E93-3145-8E7E-AB5A32D6046B}"/>
            </c:ext>
          </c:extLst>
        </c:ser>
        <c:ser>
          <c:idx val="1"/>
          <c:order val="1"/>
          <c:tx>
            <c:strRef>
              <c:f>'Load factor'!$J$15:$K$15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'Load factor'!$L$2:$AJ$2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'Load factor'!$L$24:$AJ$24</c:f>
              <c:numCache>
                <c:formatCode>0.000_);[Red]\(0.000\)</c:formatCode>
                <c:ptCount val="25"/>
                <c:pt idx="0" formatCode="General">
                  <c:v>0</c:v>
                </c:pt>
                <c:pt idx="1">
                  <c:v>-8.8118157078158177E-2</c:v>
                </c:pt>
                <c:pt idx="2">
                  <c:v>-6.4637399496770082E-2</c:v>
                </c:pt>
                <c:pt idx="3">
                  <c:v>-0.10300921957495328</c:v>
                </c:pt>
                <c:pt idx="4">
                  <c:v>-9.3275052857404658E-2</c:v>
                </c:pt>
                <c:pt idx="5">
                  <c:v>-0.13033319620167638</c:v>
                </c:pt>
                <c:pt idx="6">
                  <c:v>-0.20696538416465959</c:v>
                </c:pt>
                <c:pt idx="7">
                  <c:v>-0.22476204100302866</c:v>
                </c:pt>
                <c:pt idx="8">
                  <c:v>-0.14122598923436014</c:v>
                </c:pt>
                <c:pt idx="9">
                  <c:v>-7.7293370961500851E-2</c:v>
                </c:pt>
                <c:pt idx="10">
                  <c:v>-4.4790877396476553E-2</c:v>
                </c:pt>
                <c:pt idx="11">
                  <c:v>-1.5055755330276741E-2</c:v>
                </c:pt>
                <c:pt idx="12">
                  <c:v>-0.10299257866035347</c:v>
                </c:pt>
                <c:pt idx="13">
                  <c:v>-0.13585248944223383</c:v>
                </c:pt>
                <c:pt idx="14">
                  <c:v>-1.2661294316167984E-2</c:v>
                </c:pt>
                <c:pt idx="15">
                  <c:v>-9.0924750363586007E-2</c:v>
                </c:pt>
                <c:pt idx="16">
                  <c:v>-0.13284300763470291</c:v>
                </c:pt>
                <c:pt idx="17">
                  <c:v>-0.16088025207282627</c:v>
                </c:pt>
                <c:pt idx="18">
                  <c:v>-0.14830048628700801</c:v>
                </c:pt>
                <c:pt idx="19">
                  <c:v>-7.8942932434792834E-2</c:v>
                </c:pt>
                <c:pt idx="20">
                  <c:v>4.9905316582700664E-2</c:v>
                </c:pt>
                <c:pt idx="21">
                  <c:v>0.15464093059050601</c:v>
                </c:pt>
                <c:pt idx="22">
                  <c:v>0.2169466423210086</c:v>
                </c:pt>
                <c:pt idx="23">
                  <c:v>0.16604797526260981</c:v>
                </c:pt>
                <c:pt idx="24">
                  <c:v>-4.3390201763662962E-2</c:v>
                </c:pt>
              </c:numCache>
            </c:numRef>
          </c:val>
          <c:smooth val="0"/>
          <c:extLst>
            <c:ext xmlns:c16="http://schemas.microsoft.com/office/drawing/2014/chart" uri="{C3380CC4-5D6E-409C-BE32-E72D297353CC}">
              <c16:uniqueId val="{00000001-9E93-3145-8E7E-AB5A32D6046B}"/>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3000" b="1" i="0" u="none" strike="noStrike">
                <a:effectLst/>
              </a:rPr>
              <a:t>Load factor</a:t>
            </a:r>
            <a:r>
              <a:rPr lang="ko-KR" altLang="ko-KR" sz="3000">
                <a:effectLst/>
              </a:rPr>
              <a:t> </a:t>
            </a:r>
          </a:p>
        </c:rich>
      </c:tx>
      <c:overlay val="0"/>
      <c:spPr>
        <a:noFill/>
        <a:ln>
          <a:noFill/>
        </a:ln>
        <a:effectLst/>
      </c:spPr>
    </c:title>
    <c:autoTitleDeleted val="0"/>
    <c:plotArea>
      <c:layout>
        <c:manualLayout>
          <c:layoutTarget val="inner"/>
          <c:xMode val="edge"/>
          <c:yMode val="edge"/>
          <c:x val="7.2999710770241533E-2"/>
          <c:y val="0.12525116153884078"/>
          <c:w val="0.73197923430302936"/>
          <c:h val="0.73600796748814845"/>
        </c:manualLayout>
      </c:layout>
      <c:lineChart>
        <c:grouping val="standard"/>
        <c:varyColors val="0"/>
        <c:ser>
          <c:idx val="0"/>
          <c:order val="0"/>
          <c:tx>
            <c:strRef>
              <c:f>'Load factor'!$J$2:$K$2</c:f>
              <c:strCache>
                <c:ptCount val="2"/>
                <c:pt idx="0">
                  <c:v>GOOD</c:v>
                </c:pt>
              </c:strCache>
            </c:strRef>
          </c:tx>
          <c:spPr>
            <a:ln w="28575" cap="rnd" cmpd="sng">
              <a:solidFill>
                <a:srgbClr val="FF0000"/>
              </a:solidFill>
              <a:round/>
            </a:ln>
            <a:effectLst/>
          </c:spPr>
          <c:marker>
            <c:symbol val="none"/>
          </c:marker>
          <c:cat>
            <c:strRef>
              <c:f>'Load factor'!$L$2:$AJ$2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'Load factor'!$L$11:$AJ$11</c:f>
              <c:numCache>
                <c:formatCode>0.000_);[Red]\(0.000\)</c:formatCode>
                <c:ptCount val="25"/>
                <c:pt idx="0" formatCode="General">
                  <c:v>0</c:v>
                </c:pt>
                <c:pt idx="1">
                  <c:v>-4.2960787811712094E-3</c:v>
                </c:pt>
                <c:pt idx="2">
                  <c:v>2.3175045699004401E-2</c:v>
                </c:pt>
                <c:pt idx="3">
                  <c:v>1.2417017464130195E-2</c:v>
                </c:pt>
                <c:pt idx="4">
                  <c:v>3.650928238963877E-2</c:v>
                </c:pt>
                <c:pt idx="5">
                  <c:v>-1.1120809259350467E-2</c:v>
                </c:pt>
                <c:pt idx="6">
                  <c:v>-3.7986254559437493E-2</c:v>
                </c:pt>
                <c:pt idx="7">
                  <c:v>3.0892664007453247E-2</c:v>
                </c:pt>
                <c:pt idx="8">
                  <c:v>0.1743395875890012</c:v>
                </c:pt>
                <c:pt idx="9">
                  <c:v>0.22430881484195211</c:v>
                </c:pt>
                <c:pt idx="10">
                  <c:v>0.2474401406828535</c:v>
                </c:pt>
                <c:pt idx="11">
                  <c:v>0.16438045267840024</c:v>
                </c:pt>
                <c:pt idx="12">
                  <c:v>4.9610241008963732E-2</c:v>
                </c:pt>
                <c:pt idx="13">
                  <c:v>-2.3961442553105394E-4</c:v>
                </c:pt>
                <c:pt idx="14">
                  <c:v>0.1247805304695648</c:v>
                </c:pt>
                <c:pt idx="15">
                  <c:v>-4.8131832620972891E-2</c:v>
                </c:pt>
                <c:pt idx="16">
                  <c:v>-4.3522054926151653E-2</c:v>
                </c:pt>
                <c:pt idx="17">
                  <c:v>-2.053131952976946E-2</c:v>
                </c:pt>
                <c:pt idx="18">
                  <c:v>-2.813903878526965E-2</c:v>
                </c:pt>
                <c:pt idx="19">
                  <c:v>-3.6766673891035717E-2</c:v>
                </c:pt>
                <c:pt idx="20">
                  <c:v>9.6031809130137924E-2</c:v>
                </c:pt>
                <c:pt idx="21">
                  <c:v>0.2466913647888489</c:v>
                </c:pt>
                <c:pt idx="22">
                  <c:v>0.27940161469859665</c:v>
                </c:pt>
                <c:pt idx="23">
                  <c:v>0.29506230808832407</c:v>
                </c:pt>
                <c:pt idx="24">
                  <c:v>4.3674182350063595E-2</c:v>
                </c:pt>
              </c:numCache>
            </c:numRef>
          </c:val>
          <c:smooth val="0"/>
          <c:extLst>
            <c:ext xmlns:c16="http://schemas.microsoft.com/office/drawing/2014/chart" uri="{C3380CC4-5D6E-409C-BE32-E72D297353CC}">
              <c16:uniqueId val="{00000000-CFA2-AD41-8245-D4BA62188731}"/>
            </c:ext>
          </c:extLst>
        </c:ser>
        <c:ser>
          <c:idx val="1"/>
          <c:order val="1"/>
          <c:tx>
            <c:strRef>
              <c:f>'Load factor'!$J$15:$K$15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'Load factor'!$L$2:$AJ$2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'Load factor'!$L$24:$AJ$24</c:f>
              <c:numCache>
                <c:formatCode>0.000_);[Red]\(0.000\)</c:formatCode>
                <c:ptCount val="25"/>
                <c:pt idx="0" formatCode="General">
                  <c:v>0</c:v>
                </c:pt>
                <c:pt idx="1">
                  <c:v>-8.8118157078158177E-2</c:v>
                </c:pt>
                <c:pt idx="2">
                  <c:v>-6.4637399496770082E-2</c:v>
                </c:pt>
                <c:pt idx="3">
                  <c:v>-0.10300921957495328</c:v>
                </c:pt>
                <c:pt idx="4">
                  <c:v>-9.3275052857404658E-2</c:v>
                </c:pt>
                <c:pt idx="5">
                  <c:v>-0.13033319620167638</c:v>
                </c:pt>
                <c:pt idx="6">
                  <c:v>-0.20696538416465959</c:v>
                </c:pt>
                <c:pt idx="7">
                  <c:v>-0.22476204100302866</c:v>
                </c:pt>
                <c:pt idx="8">
                  <c:v>-0.14122598923436014</c:v>
                </c:pt>
                <c:pt idx="9">
                  <c:v>-7.7293370961500851E-2</c:v>
                </c:pt>
                <c:pt idx="10">
                  <c:v>-4.4790877396476553E-2</c:v>
                </c:pt>
                <c:pt idx="11">
                  <c:v>-1.5055755330276741E-2</c:v>
                </c:pt>
                <c:pt idx="12">
                  <c:v>-0.10299257866035347</c:v>
                </c:pt>
                <c:pt idx="13">
                  <c:v>-0.13585248944223383</c:v>
                </c:pt>
                <c:pt idx="14">
                  <c:v>-1.2661294316167984E-2</c:v>
                </c:pt>
                <c:pt idx="15">
                  <c:v>-9.0924750363586007E-2</c:v>
                </c:pt>
                <c:pt idx="16">
                  <c:v>-0.13284300763470291</c:v>
                </c:pt>
                <c:pt idx="17">
                  <c:v>-0.16088025207282627</c:v>
                </c:pt>
                <c:pt idx="18">
                  <c:v>-0.14830048628700801</c:v>
                </c:pt>
                <c:pt idx="19">
                  <c:v>-7.8942932434792834E-2</c:v>
                </c:pt>
                <c:pt idx="20">
                  <c:v>4.9905316582700664E-2</c:v>
                </c:pt>
                <c:pt idx="21">
                  <c:v>0.15464093059050601</c:v>
                </c:pt>
                <c:pt idx="22">
                  <c:v>0.2169466423210086</c:v>
                </c:pt>
                <c:pt idx="23">
                  <c:v>0.16604797526260981</c:v>
                </c:pt>
                <c:pt idx="24">
                  <c:v>-4.3390201763662962E-2</c:v>
                </c:pt>
              </c:numCache>
            </c:numRef>
          </c:val>
          <c:smooth val="0"/>
          <c:extLst>
            <c:ext xmlns:c16="http://schemas.microsoft.com/office/drawing/2014/chart" uri="{C3380CC4-5D6E-409C-BE32-E72D297353CC}">
              <c16:uniqueId val="{00000001-CFA2-AD41-8245-D4BA62188731}"/>
            </c:ext>
          </c:extLst>
        </c:ser>
        <c:ser>
          <c:idx val="2"/>
          <c:order val="2"/>
          <c:tx>
            <c:strRef>
              <c:f>'Load factor'!$J$68:$K$68</c:f>
              <c:strCache>
                <c:ptCount val="2"/>
                <c:pt idx="0">
                  <c:v>Industry average</c:v>
                </c:pt>
              </c:strCache>
            </c:strRef>
          </c:tx>
          <c:spPr>
            <a:ln w="28575">
              <a:solidFill>
                <a:schemeClr val="accent6"/>
              </a:solidFill>
            </a:ln>
          </c:spPr>
          <c:marker>
            <c:symbol val="none"/>
          </c:marker>
          <c:cat>
            <c:strRef>
              <c:f>'Load factor'!$L$2:$AJ$2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'Load factor'!$L$73:$AJ$73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CFA2-AD41-8245-D4BA62188731}"/>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0546638713320218"/>
          <c:y val="0.10918764898143003"/>
          <c:w val="0.19312894061720415"/>
          <c:h val="0.15617917344536336"/>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3000" b="1" i="0" u="none" strike="noStrike">
                <a:effectLst/>
              </a:rPr>
              <a:t>Fuel price</a:t>
            </a:r>
            <a:r>
              <a:rPr lang="ko-KR" altLang="ko-KR" sz="3000">
                <a:effectLst/>
              </a:rPr>
              <a:t> </a:t>
            </a:r>
          </a:p>
        </c:rich>
      </c:tx>
      <c:overlay val="0"/>
      <c:spPr>
        <a:noFill/>
        <a:ln>
          <a:noFill/>
        </a:ln>
        <a:effectLst/>
      </c:spPr>
    </c:title>
    <c:autoTitleDeleted val="0"/>
    <c:plotArea>
      <c:layout>
        <c:manualLayout>
          <c:layoutTarget val="inner"/>
          <c:xMode val="edge"/>
          <c:yMode val="edge"/>
          <c:x val="2.6883660448367298E-2"/>
          <c:y val="0.12736631999159576"/>
          <c:w val="0.73197923430302936"/>
          <c:h val="0.73600796748814845"/>
        </c:manualLayout>
      </c:layout>
      <c:lineChart>
        <c:grouping val="standard"/>
        <c:varyColors val="0"/>
        <c:ser>
          <c:idx val="0"/>
          <c:order val="0"/>
          <c:tx>
            <c:strRef>
              <c:f>'Fuel price'!$J$2:$K$2</c:f>
              <c:strCache>
                <c:ptCount val="2"/>
                <c:pt idx="0">
                  <c:v>GOOD</c:v>
                </c:pt>
              </c:strCache>
            </c:strRef>
          </c:tx>
          <c:spPr>
            <a:ln w="28575" cap="rnd" cmpd="sng">
              <a:solidFill>
                <a:srgbClr val="FF0000"/>
              </a:solidFill>
              <a:round/>
            </a:ln>
            <a:effectLst/>
          </c:spPr>
          <c:marker>
            <c:symbol val="none"/>
          </c:marker>
          <c:cat>
            <c:strRef>
              <c:f>'Fuel price'!$L$2:$AJ$2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'Fuel price'!$L$11:$AJ$11</c:f>
              <c:numCache>
                <c:formatCode>0.000_);[Red]\(0.000\)</c:formatCode>
                <c:ptCount val="25"/>
                <c:pt idx="0" formatCode="General">
                  <c:v>0</c:v>
                </c:pt>
                <c:pt idx="1">
                  <c:v>-0.10153092444271092</c:v>
                </c:pt>
                <c:pt idx="2">
                  <c:v>-5.663768907958544E-2</c:v>
                </c:pt>
                <c:pt idx="3">
                  <c:v>-5.0135424399615089E-2</c:v>
                </c:pt>
                <c:pt idx="4">
                  <c:v>-7.7652468304373029E-2</c:v>
                </c:pt>
                <c:pt idx="5">
                  <c:v>-7.4356944639534323E-2</c:v>
                </c:pt>
                <c:pt idx="6">
                  <c:v>-0.13146429342203364</c:v>
                </c:pt>
                <c:pt idx="7">
                  <c:v>-0.10187059279823314</c:v>
                </c:pt>
                <c:pt idx="8">
                  <c:v>-1.8636624239256522E-2</c:v>
                </c:pt>
                <c:pt idx="9">
                  <c:v>1.9918083698796871E-2</c:v>
                </c:pt>
                <c:pt idx="10">
                  <c:v>6.5584869116968258E-2</c:v>
                </c:pt>
                <c:pt idx="11">
                  <c:v>7.6645667589896133E-2</c:v>
                </c:pt>
                <c:pt idx="12">
                  <c:v>-7.1565242033019491E-2</c:v>
                </c:pt>
                <c:pt idx="13">
                  <c:v>-0.11298113451329955</c:v>
                </c:pt>
                <c:pt idx="14">
                  <c:v>-3.0200890400520874E-2</c:v>
                </c:pt>
                <c:pt idx="15">
                  <c:v>-0.10551018610447142</c:v>
                </c:pt>
                <c:pt idx="16">
                  <c:v>-0.14008906403380897</c:v>
                </c:pt>
                <c:pt idx="17">
                  <c:v>-0.1269328126745021</c:v>
                </c:pt>
                <c:pt idx="18">
                  <c:v>-0.16853612690246197</c:v>
                </c:pt>
                <c:pt idx="19">
                  <c:v>-0.16941938399756995</c:v>
                </c:pt>
                <c:pt idx="20">
                  <c:v>-7.0832584601536186E-2</c:v>
                </c:pt>
                <c:pt idx="21">
                  <c:v>4.2530189801552452E-2</c:v>
                </c:pt>
                <c:pt idx="22">
                  <c:v>3.5700161917132545E-2</c:v>
                </c:pt>
                <c:pt idx="23">
                  <c:v>3.5804304795853593E-2</c:v>
                </c:pt>
                <c:pt idx="24">
                  <c:v>-3.3479475709412308E-2</c:v>
                </c:pt>
              </c:numCache>
            </c:numRef>
          </c:val>
          <c:smooth val="0"/>
          <c:extLst>
            <c:ext xmlns:c16="http://schemas.microsoft.com/office/drawing/2014/chart" uri="{C3380CC4-5D6E-409C-BE32-E72D297353CC}">
              <c16:uniqueId val="{00000000-CAD9-D743-83EC-1C1B9E1CF6C6}"/>
            </c:ext>
          </c:extLst>
        </c:ser>
        <c:ser>
          <c:idx val="1"/>
          <c:order val="1"/>
          <c:tx>
            <c:strRef>
              <c:f>'Fuel price'!$J$15:$K$15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'Fuel price'!$L$2:$AJ$2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'Fuel price'!$L$24:$AJ$24</c:f>
              <c:numCache>
                <c:formatCode>0.000_);[Red]\(0.000\)</c:formatCode>
                <c:ptCount val="25"/>
                <c:pt idx="0" formatCode="General">
                  <c:v>0</c:v>
                </c:pt>
                <c:pt idx="1">
                  <c:v>-7.5522046690449332E-2</c:v>
                </c:pt>
                <c:pt idx="2">
                  <c:v>-6.0921312559019752E-2</c:v>
                </c:pt>
                <c:pt idx="3">
                  <c:v>-0.10291603997313133</c:v>
                </c:pt>
                <c:pt idx="4">
                  <c:v>-6.042159429618385E-2</c:v>
                </c:pt>
                <c:pt idx="5">
                  <c:v>-0.1037907861864015</c:v>
                </c:pt>
                <c:pt idx="6">
                  <c:v>-0.18790076952638504</c:v>
                </c:pt>
                <c:pt idx="7">
                  <c:v>-0.20771350375383377</c:v>
                </c:pt>
                <c:pt idx="8">
                  <c:v>-0.16140859302783661</c:v>
                </c:pt>
                <c:pt idx="9">
                  <c:v>-0.10485280558860505</c:v>
                </c:pt>
                <c:pt idx="10">
                  <c:v>-1.7929359920179855E-2</c:v>
                </c:pt>
                <c:pt idx="11">
                  <c:v>2.1200496036178795E-2</c:v>
                </c:pt>
                <c:pt idx="12">
                  <c:v>-0.16432164415457814</c:v>
                </c:pt>
                <c:pt idx="13">
                  <c:v>-0.19839681682955584</c:v>
                </c:pt>
                <c:pt idx="14">
                  <c:v>-0.14646413737108638</c:v>
                </c:pt>
                <c:pt idx="15">
                  <c:v>-0.19556466535976372</c:v>
                </c:pt>
                <c:pt idx="16">
                  <c:v>-0.20308507047175559</c:v>
                </c:pt>
                <c:pt idx="17">
                  <c:v>-0.24499143746629601</c:v>
                </c:pt>
                <c:pt idx="18">
                  <c:v>-0.26020776985292332</c:v>
                </c:pt>
                <c:pt idx="19">
                  <c:v>-0.24251415640008522</c:v>
                </c:pt>
                <c:pt idx="20">
                  <c:v>-0.14845681444988329</c:v>
                </c:pt>
                <c:pt idx="21">
                  <c:v>-5.5593115766891167E-2</c:v>
                </c:pt>
                <c:pt idx="22">
                  <c:v>-1.2764612578142339E-2</c:v>
                </c:pt>
                <c:pt idx="23">
                  <c:v>-5.5444875657262395E-2</c:v>
                </c:pt>
                <c:pt idx="24">
                  <c:v>-0.25294703222627235</c:v>
                </c:pt>
              </c:numCache>
            </c:numRef>
          </c:val>
          <c:smooth val="0"/>
          <c:extLst>
            <c:ext xmlns:c16="http://schemas.microsoft.com/office/drawing/2014/chart" uri="{C3380CC4-5D6E-409C-BE32-E72D297353CC}">
              <c16:uniqueId val="{00000001-CAD9-D743-83EC-1C1B9E1CF6C6}"/>
            </c:ext>
          </c:extLst>
        </c:ser>
        <c:ser>
          <c:idx val="2"/>
          <c:order val="2"/>
          <c:tx>
            <c:strRef>
              <c:f>'Fuel price'!$J$26:$K$26</c:f>
              <c:strCache>
                <c:ptCount val="2"/>
                <c:pt idx="0">
                  <c:v>S&amp;P 500</c:v>
                </c:pt>
              </c:strCache>
            </c:strRef>
          </c:tx>
          <c:spPr>
            <a:ln w="28575">
              <a:solidFill>
                <a:schemeClr val="accent4"/>
              </a:solidFill>
            </a:ln>
          </c:spPr>
          <c:marker>
            <c:symbol val="none"/>
          </c:marker>
          <c:cat>
            <c:strRef>
              <c:f>'Fuel price'!$L$2:$AJ$2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'Fuel price'!$L$31:$AJ$31</c:f>
              <c:numCache>
                <c:formatCode>0.000_);[Red]\(0.000\)</c:formatCode>
                <c:ptCount val="25"/>
                <c:pt idx="0" formatCode="General">
                  <c:v>0</c:v>
                </c:pt>
                <c:pt idx="1">
                  <c:v>-3.0638584389602985E-2</c:v>
                </c:pt>
                <c:pt idx="2">
                  <c:v>-3.2273885574554961E-3</c:v>
                </c:pt>
                <c:pt idx="3">
                  <c:v>1.5866465237974914E-2</c:v>
                </c:pt>
                <c:pt idx="4">
                  <c:v>5.2260851312159712E-2</c:v>
                </c:pt>
                <c:pt idx="5">
                  <c:v>4.902617851120078E-2</c:v>
                </c:pt>
                <c:pt idx="6">
                  <c:v>3.0876169744148751E-2</c:v>
                </c:pt>
                <c:pt idx="7">
                  <c:v>4.4990677471808405E-2</c:v>
                </c:pt>
                <c:pt idx="8">
                  <c:v>9.5180296271827142E-2</c:v>
                </c:pt>
                <c:pt idx="9">
                  <c:v>8.6861235479142845E-2</c:v>
                </c:pt>
                <c:pt idx="10">
                  <c:v>0.11628476866776913</c:v>
                </c:pt>
                <c:pt idx="11">
                  <c:v>0.11888478880983158</c:v>
                </c:pt>
                <c:pt idx="12">
                  <c:v>0.10426998979272559</c:v>
                </c:pt>
                <c:pt idx="13">
                  <c:v>0.12256654682724516</c:v>
                </c:pt>
                <c:pt idx="14">
                  <c:v>0.17068136352544039</c:v>
                </c:pt>
                <c:pt idx="15">
                  <c:v>0.16401957412014001</c:v>
                </c:pt>
                <c:pt idx="16">
                  <c:v>0.18775929077715939</c:v>
                </c:pt>
                <c:pt idx="17">
                  <c:v>0.19967423015198874</c:v>
                </c:pt>
                <c:pt idx="18">
                  <c:v>0.20724669399849149</c:v>
                </c:pt>
                <c:pt idx="19">
                  <c:v>0.20531230398190789</c:v>
                </c:pt>
                <c:pt idx="20">
                  <c:v>0.25991348225636596</c:v>
                </c:pt>
                <c:pt idx="21">
                  <c:v>0.26232213677550081</c:v>
                </c:pt>
                <c:pt idx="22">
                  <c:v>0.28672366127117549</c:v>
                </c:pt>
                <c:pt idx="23">
                  <c:v>0.29436914481611048</c:v>
                </c:pt>
                <c:pt idx="24">
                  <c:v>0.25597890206821478</c:v>
                </c:pt>
              </c:numCache>
            </c:numRef>
          </c:val>
          <c:smooth val="0"/>
          <c:extLst>
            <c:ext xmlns:c16="http://schemas.microsoft.com/office/drawing/2014/chart" uri="{C3380CC4-5D6E-409C-BE32-E72D297353CC}">
              <c16:uniqueId val="{00000002-CAD9-D743-83EC-1C1B9E1CF6C6}"/>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4"/>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3000" b="1" i="0" u="none" strike="noStrike">
                <a:effectLst/>
              </a:rPr>
              <a:t>Fuel price</a:t>
            </a:r>
            <a:r>
              <a:rPr lang="ko-KR" altLang="ko-KR" sz="3000">
                <a:effectLst/>
              </a:rPr>
              <a:t> </a:t>
            </a:r>
            <a:r>
              <a:rPr lang="ko-KR" altLang="ko-KR" sz="3000" b="1" i="0" u="none" strike="noStrike">
                <a:effectLst/>
              </a:rPr>
              <a:t> </a:t>
            </a:r>
            <a:endParaRPr lang="en-US" altLang="ko-KR" sz="3000" b="1" i="0" u="none" strike="noStrike">
              <a:effectLst/>
            </a:endParaRPr>
          </a:p>
        </c:rich>
      </c:tx>
      <c:overlay val="0"/>
      <c:spPr>
        <a:noFill/>
        <a:ln>
          <a:noFill/>
        </a:ln>
        <a:effectLst/>
      </c:spPr>
    </c:title>
    <c:autoTitleDeleted val="0"/>
    <c:plotArea>
      <c:layout>
        <c:manualLayout>
          <c:layoutTarget val="inner"/>
          <c:xMode val="edge"/>
          <c:yMode val="edge"/>
          <c:x val="0.12945190098793763"/>
          <c:y val="0.12736638139512574"/>
          <c:w val="0.73197923430302936"/>
          <c:h val="0.73600796748814845"/>
        </c:manualLayout>
      </c:layout>
      <c:lineChart>
        <c:grouping val="standard"/>
        <c:varyColors val="0"/>
        <c:ser>
          <c:idx val="0"/>
          <c:order val="0"/>
          <c:tx>
            <c:strRef>
              <c:f>'Fuel price'!$J$2:$K$2</c:f>
              <c:strCache>
                <c:ptCount val="2"/>
                <c:pt idx="0">
                  <c:v>GOOD</c:v>
                </c:pt>
              </c:strCache>
            </c:strRef>
          </c:tx>
          <c:spPr>
            <a:ln w="28575" cap="rnd" cmpd="sng">
              <a:solidFill>
                <a:srgbClr val="FF0000"/>
              </a:solidFill>
              <a:round/>
            </a:ln>
            <a:effectLst/>
          </c:spPr>
          <c:marker>
            <c:symbol val="none"/>
          </c:marker>
          <c:cat>
            <c:strRef>
              <c:f>'Fuel price'!$L$2:$AJ$2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'Fuel price'!$L$11:$AJ$11</c:f>
              <c:numCache>
                <c:formatCode>0.000_);[Red]\(0.000\)</c:formatCode>
                <c:ptCount val="25"/>
                <c:pt idx="0" formatCode="General">
                  <c:v>0</c:v>
                </c:pt>
                <c:pt idx="1">
                  <c:v>-0.10153092444271092</c:v>
                </c:pt>
                <c:pt idx="2">
                  <c:v>-5.663768907958544E-2</c:v>
                </c:pt>
                <c:pt idx="3">
                  <c:v>-5.0135424399615089E-2</c:v>
                </c:pt>
                <c:pt idx="4">
                  <c:v>-7.7652468304373029E-2</c:v>
                </c:pt>
                <c:pt idx="5">
                  <c:v>-7.4356944639534323E-2</c:v>
                </c:pt>
                <c:pt idx="6">
                  <c:v>-0.13146429342203364</c:v>
                </c:pt>
                <c:pt idx="7">
                  <c:v>-0.10187059279823314</c:v>
                </c:pt>
                <c:pt idx="8">
                  <c:v>-1.8636624239256522E-2</c:v>
                </c:pt>
                <c:pt idx="9">
                  <c:v>1.9918083698796871E-2</c:v>
                </c:pt>
                <c:pt idx="10">
                  <c:v>6.5584869116968258E-2</c:v>
                </c:pt>
                <c:pt idx="11">
                  <c:v>7.6645667589896133E-2</c:v>
                </c:pt>
                <c:pt idx="12">
                  <c:v>-7.1565242033019491E-2</c:v>
                </c:pt>
                <c:pt idx="13">
                  <c:v>-0.11298113451329955</c:v>
                </c:pt>
                <c:pt idx="14">
                  <c:v>-3.0200890400520874E-2</c:v>
                </c:pt>
                <c:pt idx="15">
                  <c:v>-0.10551018610447142</c:v>
                </c:pt>
                <c:pt idx="16">
                  <c:v>-0.14008906403380897</c:v>
                </c:pt>
                <c:pt idx="17">
                  <c:v>-0.1269328126745021</c:v>
                </c:pt>
                <c:pt idx="18">
                  <c:v>-0.16853612690246197</c:v>
                </c:pt>
                <c:pt idx="19">
                  <c:v>-0.16941938399756995</c:v>
                </c:pt>
                <c:pt idx="20">
                  <c:v>-7.0832584601536186E-2</c:v>
                </c:pt>
                <c:pt idx="21">
                  <c:v>4.2530189801552452E-2</c:v>
                </c:pt>
                <c:pt idx="22">
                  <c:v>3.5700161917132545E-2</c:v>
                </c:pt>
                <c:pt idx="23">
                  <c:v>3.5804304795853593E-2</c:v>
                </c:pt>
                <c:pt idx="24">
                  <c:v>-3.3479475709412308E-2</c:v>
                </c:pt>
              </c:numCache>
            </c:numRef>
          </c:val>
          <c:smooth val="0"/>
          <c:extLst>
            <c:ext xmlns:c16="http://schemas.microsoft.com/office/drawing/2014/chart" uri="{C3380CC4-5D6E-409C-BE32-E72D297353CC}">
              <c16:uniqueId val="{00000000-69D8-1143-84D8-447D93F8ADC5}"/>
            </c:ext>
          </c:extLst>
        </c:ser>
        <c:ser>
          <c:idx val="1"/>
          <c:order val="1"/>
          <c:tx>
            <c:strRef>
              <c:f>'Fuel price'!$J$15:$K$15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'Fuel price'!$L$2:$AJ$2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'Fuel price'!$L$24:$AJ$24</c:f>
              <c:numCache>
                <c:formatCode>0.000_);[Red]\(0.000\)</c:formatCode>
                <c:ptCount val="25"/>
                <c:pt idx="0" formatCode="General">
                  <c:v>0</c:v>
                </c:pt>
                <c:pt idx="1">
                  <c:v>-7.5522046690449332E-2</c:v>
                </c:pt>
                <c:pt idx="2">
                  <c:v>-6.0921312559019752E-2</c:v>
                </c:pt>
                <c:pt idx="3">
                  <c:v>-0.10291603997313133</c:v>
                </c:pt>
                <c:pt idx="4">
                  <c:v>-6.042159429618385E-2</c:v>
                </c:pt>
                <c:pt idx="5">
                  <c:v>-0.1037907861864015</c:v>
                </c:pt>
                <c:pt idx="6">
                  <c:v>-0.18790076952638504</c:v>
                </c:pt>
                <c:pt idx="7">
                  <c:v>-0.20771350375383377</c:v>
                </c:pt>
                <c:pt idx="8">
                  <c:v>-0.16140859302783661</c:v>
                </c:pt>
                <c:pt idx="9">
                  <c:v>-0.10485280558860505</c:v>
                </c:pt>
                <c:pt idx="10">
                  <c:v>-1.7929359920179855E-2</c:v>
                </c:pt>
                <c:pt idx="11">
                  <c:v>2.1200496036178795E-2</c:v>
                </c:pt>
                <c:pt idx="12">
                  <c:v>-0.16432164415457814</c:v>
                </c:pt>
                <c:pt idx="13">
                  <c:v>-0.19839681682955584</c:v>
                </c:pt>
                <c:pt idx="14">
                  <c:v>-0.14646413737108638</c:v>
                </c:pt>
                <c:pt idx="15">
                  <c:v>-0.19556466535976372</c:v>
                </c:pt>
                <c:pt idx="16">
                  <c:v>-0.20308507047175559</c:v>
                </c:pt>
                <c:pt idx="17">
                  <c:v>-0.24499143746629601</c:v>
                </c:pt>
                <c:pt idx="18">
                  <c:v>-0.26020776985292332</c:v>
                </c:pt>
                <c:pt idx="19">
                  <c:v>-0.24251415640008522</c:v>
                </c:pt>
                <c:pt idx="20">
                  <c:v>-0.14845681444988329</c:v>
                </c:pt>
                <c:pt idx="21">
                  <c:v>-5.5593115766891167E-2</c:v>
                </c:pt>
                <c:pt idx="22">
                  <c:v>-1.2764612578142339E-2</c:v>
                </c:pt>
                <c:pt idx="23">
                  <c:v>-5.5444875657262395E-2</c:v>
                </c:pt>
                <c:pt idx="24">
                  <c:v>-0.25294703222627235</c:v>
                </c:pt>
              </c:numCache>
            </c:numRef>
          </c:val>
          <c:smooth val="0"/>
          <c:extLst>
            <c:ext xmlns:c16="http://schemas.microsoft.com/office/drawing/2014/chart" uri="{C3380CC4-5D6E-409C-BE32-E72D297353CC}">
              <c16:uniqueId val="{00000001-69D8-1143-84D8-447D93F8ADC5}"/>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layout>
            <c:manualLayout>
              <c:xMode val="edge"/>
              <c:yMode val="edge"/>
              <c:x val="4.6633709921159193E-2"/>
              <c:y val="0.37123324312836686"/>
            </c:manualLayout>
          </c:layout>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3000" b="1" i="0" u="none" strike="noStrike" kern="1200" baseline="0">
                <a:solidFill>
                  <a:sysClr val="windowText" lastClr="000000"/>
                </a:solidFill>
                <a:latin typeface="+mn-lt"/>
                <a:ea typeface="+mn-ea"/>
                <a:cs typeface="+mn-ea"/>
                <a:sym typeface="+mn-ea"/>
              </a:defRPr>
            </a:pPr>
            <a:r>
              <a:rPr lang="ko-KR" altLang="ko-KR" sz="3000" b="1" i="0" u="none" strike="noStrike">
                <a:effectLst/>
              </a:rPr>
              <a:t>Fuel price</a:t>
            </a:r>
            <a:r>
              <a:rPr lang="ko-KR" altLang="ko-KR" sz="3000">
                <a:effectLst/>
              </a:rPr>
              <a:t> </a:t>
            </a:r>
          </a:p>
        </c:rich>
      </c:tx>
      <c:overlay val="0"/>
      <c:spPr>
        <a:noFill/>
        <a:ln>
          <a:noFill/>
        </a:ln>
        <a:effectLst/>
      </c:spPr>
    </c:title>
    <c:autoTitleDeleted val="0"/>
    <c:plotArea>
      <c:layout>
        <c:manualLayout>
          <c:layoutTarget val="inner"/>
          <c:xMode val="edge"/>
          <c:yMode val="edge"/>
          <c:x val="8.0184722961593027E-2"/>
          <c:y val="0.1294816012514107"/>
          <c:w val="0.73197923430302936"/>
          <c:h val="0.73600796748814845"/>
        </c:manualLayout>
      </c:layout>
      <c:lineChart>
        <c:grouping val="standard"/>
        <c:varyColors val="0"/>
        <c:ser>
          <c:idx val="0"/>
          <c:order val="0"/>
          <c:tx>
            <c:strRef>
              <c:f>'Fuel price'!$J$2:$K$2</c:f>
              <c:strCache>
                <c:ptCount val="2"/>
                <c:pt idx="0">
                  <c:v>GOOD</c:v>
                </c:pt>
              </c:strCache>
            </c:strRef>
          </c:tx>
          <c:spPr>
            <a:ln w="28575" cap="rnd" cmpd="sng">
              <a:solidFill>
                <a:srgbClr val="FF0000"/>
              </a:solidFill>
              <a:round/>
            </a:ln>
            <a:effectLst/>
          </c:spPr>
          <c:marker>
            <c:symbol val="none"/>
          </c:marker>
          <c:cat>
            <c:strRef>
              <c:f>'Fuel price'!$L$2:$AJ$2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'Fuel price'!$L$11:$AJ$11</c:f>
              <c:numCache>
                <c:formatCode>0.000_);[Red]\(0.000\)</c:formatCode>
                <c:ptCount val="25"/>
                <c:pt idx="0" formatCode="General">
                  <c:v>0</c:v>
                </c:pt>
                <c:pt idx="1">
                  <c:v>-0.10153092444271092</c:v>
                </c:pt>
                <c:pt idx="2">
                  <c:v>-5.663768907958544E-2</c:v>
                </c:pt>
                <c:pt idx="3">
                  <c:v>-5.0135424399615089E-2</c:v>
                </c:pt>
                <c:pt idx="4">
                  <c:v>-7.7652468304373029E-2</c:v>
                </c:pt>
                <c:pt idx="5">
                  <c:v>-7.4356944639534323E-2</c:v>
                </c:pt>
                <c:pt idx="6">
                  <c:v>-0.13146429342203364</c:v>
                </c:pt>
                <c:pt idx="7">
                  <c:v>-0.10187059279823314</c:v>
                </c:pt>
                <c:pt idx="8">
                  <c:v>-1.8636624239256522E-2</c:v>
                </c:pt>
                <c:pt idx="9">
                  <c:v>1.9918083698796871E-2</c:v>
                </c:pt>
                <c:pt idx="10">
                  <c:v>6.5584869116968258E-2</c:v>
                </c:pt>
                <c:pt idx="11">
                  <c:v>7.6645667589896133E-2</c:v>
                </c:pt>
                <c:pt idx="12">
                  <c:v>-7.1565242033019491E-2</c:v>
                </c:pt>
                <c:pt idx="13">
                  <c:v>-0.11298113451329955</c:v>
                </c:pt>
                <c:pt idx="14">
                  <c:v>-3.0200890400520874E-2</c:v>
                </c:pt>
                <c:pt idx="15">
                  <c:v>-0.10551018610447142</c:v>
                </c:pt>
                <c:pt idx="16">
                  <c:v>-0.14008906403380897</c:v>
                </c:pt>
                <c:pt idx="17">
                  <c:v>-0.1269328126745021</c:v>
                </c:pt>
                <c:pt idx="18">
                  <c:v>-0.16853612690246197</c:v>
                </c:pt>
                <c:pt idx="19">
                  <c:v>-0.16941938399756995</c:v>
                </c:pt>
                <c:pt idx="20">
                  <c:v>-7.0832584601536186E-2</c:v>
                </c:pt>
                <c:pt idx="21">
                  <c:v>4.2530189801552452E-2</c:v>
                </c:pt>
                <c:pt idx="22">
                  <c:v>3.5700161917132545E-2</c:v>
                </c:pt>
                <c:pt idx="23">
                  <c:v>3.5804304795853593E-2</c:v>
                </c:pt>
                <c:pt idx="24">
                  <c:v>-3.3479475709412308E-2</c:v>
                </c:pt>
              </c:numCache>
            </c:numRef>
          </c:val>
          <c:smooth val="0"/>
          <c:extLst>
            <c:ext xmlns:c16="http://schemas.microsoft.com/office/drawing/2014/chart" uri="{C3380CC4-5D6E-409C-BE32-E72D297353CC}">
              <c16:uniqueId val="{00000000-63DE-F145-ADFA-A270FD85BCB3}"/>
            </c:ext>
          </c:extLst>
        </c:ser>
        <c:ser>
          <c:idx val="1"/>
          <c:order val="1"/>
          <c:tx>
            <c:strRef>
              <c:f>'Fuel price'!$J$15:$K$15</c:f>
              <c:strCache>
                <c:ptCount val="2"/>
                <c:pt idx="0">
                  <c:v>BAD</c:v>
                </c:pt>
              </c:strCache>
            </c:strRef>
          </c:tx>
          <c:spPr>
            <a:ln w="28575" cap="rnd" cmpd="sng" algn="ctr">
              <a:solidFill>
                <a:srgbClr val="4472C4"/>
              </a:solidFill>
              <a:prstDash val="solid"/>
              <a:round/>
              <a:headEnd w="med" len="med"/>
              <a:tailEnd w="med" len="med"/>
            </a:ln>
          </c:spPr>
          <c:marker>
            <c:symbol val="none"/>
          </c:marker>
          <c:cat>
            <c:strRef>
              <c:f>'Fuel price'!$L$2:$AJ$2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'Fuel price'!$L$24:$AJ$24</c:f>
              <c:numCache>
                <c:formatCode>0.000_);[Red]\(0.000\)</c:formatCode>
                <c:ptCount val="25"/>
                <c:pt idx="0" formatCode="General">
                  <c:v>0</c:v>
                </c:pt>
                <c:pt idx="1">
                  <c:v>-7.5522046690449332E-2</c:v>
                </c:pt>
                <c:pt idx="2">
                  <c:v>-6.0921312559019752E-2</c:v>
                </c:pt>
                <c:pt idx="3">
                  <c:v>-0.10291603997313133</c:v>
                </c:pt>
                <c:pt idx="4">
                  <c:v>-6.042159429618385E-2</c:v>
                </c:pt>
                <c:pt idx="5">
                  <c:v>-0.1037907861864015</c:v>
                </c:pt>
                <c:pt idx="6">
                  <c:v>-0.18790076952638504</c:v>
                </c:pt>
                <c:pt idx="7">
                  <c:v>-0.20771350375383377</c:v>
                </c:pt>
                <c:pt idx="8">
                  <c:v>-0.16140859302783661</c:v>
                </c:pt>
                <c:pt idx="9">
                  <c:v>-0.10485280558860505</c:v>
                </c:pt>
                <c:pt idx="10">
                  <c:v>-1.7929359920179855E-2</c:v>
                </c:pt>
                <c:pt idx="11">
                  <c:v>2.1200496036178795E-2</c:v>
                </c:pt>
                <c:pt idx="12">
                  <c:v>-0.16432164415457814</c:v>
                </c:pt>
                <c:pt idx="13">
                  <c:v>-0.19839681682955584</c:v>
                </c:pt>
                <c:pt idx="14">
                  <c:v>-0.14646413737108638</c:v>
                </c:pt>
                <c:pt idx="15">
                  <c:v>-0.19556466535976372</c:v>
                </c:pt>
                <c:pt idx="16">
                  <c:v>-0.20308507047175559</c:v>
                </c:pt>
                <c:pt idx="17">
                  <c:v>-0.24499143746629601</c:v>
                </c:pt>
                <c:pt idx="18">
                  <c:v>-0.26020776985292332</c:v>
                </c:pt>
                <c:pt idx="19">
                  <c:v>-0.24251415640008522</c:v>
                </c:pt>
                <c:pt idx="20">
                  <c:v>-0.14845681444988329</c:v>
                </c:pt>
                <c:pt idx="21">
                  <c:v>-5.5593115766891167E-2</c:v>
                </c:pt>
                <c:pt idx="22">
                  <c:v>-1.2764612578142339E-2</c:v>
                </c:pt>
                <c:pt idx="23">
                  <c:v>-5.5444875657262395E-2</c:v>
                </c:pt>
                <c:pt idx="24">
                  <c:v>-0.25294703222627235</c:v>
                </c:pt>
              </c:numCache>
            </c:numRef>
          </c:val>
          <c:smooth val="0"/>
          <c:extLst>
            <c:ext xmlns:c16="http://schemas.microsoft.com/office/drawing/2014/chart" uri="{C3380CC4-5D6E-409C-BE32-E72D297353CC}">
              <c16:uniqueId val="{00000001-63DE-F145-ADFA-A270FD85BCB3}"/>
            </c:ext>
          </c:extLst>
        </c:ser>
        <c:ser>
          <c:idx val="2"/>
          <c:order val="2"/>
          <c:tx>
            <c:strRef>
              <c:f>'Fuel price'!$J$68:$K$68</c:f>
              <c:strCache>
                <c:ptCount val="2"/>
                <c:pt idx="0">
                  <c:v>Industry average</c:v>
                </c:pt>
              </c:strCache>
            </c:strRef>
          </c:tx>
          <c:spPr>
            <a:ln w="28575">
              <a:solidFill>
                <a:schemeClr val="accent6"/>
              </a:solidFill>
            </a:ln>
          </c:spPr>
          <c:marker>
            <c:symbol val="none"/>
          </c:marker>
          <c:cat>
            <c:strRef>
              <c:f>'Fuel price'!$L$2:$AJ$2</c:f>
              <c:strCache>
                <c:ptCount val="25"/>
                <c:pt idx="0">
                  <c:v>0</c:v>
                </c:pt>
                <c:pt idx="1">
                  <c:v>M1</c:v>
                </c:pt>
                <c:pt idx="2">
                  <c:v>M2</c:v>
                </c:pt>
                <c:pt idx="3">
                  <c:v>M3</c:v>
                </c:pt>
                <c:pt idx="4">
                  <c:v>M4</c:v>
                </c:pt>
                <c:pt idx="5">
                  <c:v>M5</c:v>
                </c:pt>
                <c:pt idx="6">
                  <c:v>M6</c:v>
                </c:pt>
                <c:pt idx="7">
                  <c:v>M7</c:v>
                </c:pt>
                <c:pt idx="8">
                  <c:v>M8</c:v>
                </c:pt>
                <c:pt idx="9">
                  <c:v>M9</c:v>
                </c:pt>
                <c:pt idx="10">
                  <c:v>M10</c:v>
                </c:pt>
                <c:pt idx="11">
                  <c:v>M11</c:v>
                </c:pt>
                <c:pt idx="12">
                  <c:v>M12</c:v>
                </c:pt>
                <c:pt idx="13">
                  <c:v>M13</c:v>
                </c:pt>
                <c:pt idx="14">
                  <c:v>M14</c:v>
                </c:pt>
                <c:pt idx="15">
                  <c:v>M15</c:v>
                </c:pt>
                <c:pt idx="16">
                  <c:v>M16</c:v>
                </c:pt>
                <c:pt idx="17">
                  <c:v>M17</c:v>
                </c:pt>
                <c:pt idx="18">
                  <c:v>M18</c:v>
                </c:pt>
                <c:pt idx="19">
                  <c:v>M19</c:v>
                </c:pt>
                <c:pt idx="20">
                  <c:v>M20</c:v>
                </c:pt>
                <c:pt idx="21">
                  <c:v>M21</c:v>
                </c:pt>
                <c:pt idx="22">
                  <c:v>M22</c:v>
                </c:pt>
                <c:pt idx="23">
                  <c:v>M23</c:v>
                </c:pt>
                <c:pt idx="24">
                  <c:v>M24</c:v>
                </c:pt>
              </c:strCache>
            </c:strRef>
          </c:cat>
          <c:val>
            <c:numRef>
              <c:f>'Fuel price'!$L$73:$AJ$73</c:f>
              <c:numCache>
                <c:formatCode>0.000_);[Red]\(0.000\)</c:formatCode>
                <c:ptCount val="25"/>
                <c:pt idx="0" formatCode="General">
                  <c:v>0</c:v>
                </c:pt>
                <c:pt idx="1">
                  <c:v>-2.8403384081178984E-2</c:v>
                </c:pt>
                <c:pt idx="2">
                  <c:v>7.710309495611356E-3</c:v>
                </c:pt>
                <c:pt idx="3">
                  <c:v>-2.3139442910840857E-3</c:v>
                </c:pt>
                <c:pt idx="4">
                  <c:v>-1.5578731970451731E-3</c:v>
                </c:pt>
                <c:pt idx="5">
                  <c:v>-1.243843689364893E-3</c:v>
                </c:pt>
                <c:pt idx="6">
                  <c:v>-5.3678978994722376E-2</c:v>
                </c:pt>
                <c:pt idx="7">
                  <c:v>-2.5544681619726645E-2</c:v>
                </c:pt>
                <c:pt idx="8">
                  <c:v>7.6519366031166713E-2</c:v>
                </c:pt>
                <c:pt idx="9">
                  <c:v>0.11515087928989223</c:v>
                </c:pt>
                <c:pt idx="10">
                  <c:v>0.16036261267151555</c:v>
                </c:pt>
                <c:pt idx="11">
                  <c:v>0.1478607321208539</c:v>
                </c:pt>
                <c:pt idx="12">
                  <c:v>2.9324193114337288E-2</c:v>
                </c:pt>
                <c:pt idx="13">
                  <c:v>-8.8541367185548947E-4</c:v>
                </c:pt>
                <c:pt idx="14">
                  <c:v>9.6064853887568163E-2</c:v>
                </c:pt>
                <c:pt idx="15">
                  <c:v>3.3446301852903017E-2</c:v>
                </c:pt>
                <c:pt idx="16">
                  <c:v>1.5205049381297372E-2</c:v>
                </c:pt>
                <c:pt idx="17">
                  <c:v>3.5759259921919938E-2</c:v>
                </c:pt>
                <c:pt idx="18">
                  <c:v>1.1712841104938568E-2</c:v>
                </c:pt>
                <c:pt idx="19">
                  <c:v>1.7592543943369805E-2</c:v>
                </c:pt>
                <c:pt idx="20">
                  <c:v>0.13699979777408411</c:v>
                </c:pt>
                <c:pt idx="21">
                  <c:v>0.21879842298687166</c:v>
                </c:pt>
                <c:pt idx="22">
                  <c:v>0.23832618480694776</c:v>
                </c:pt>
                <c:pt idx="23">
                  <c:v>0.21615868713112799</c:v>
                </c:pt>
                <c:pt idx="24">
                  <c:v>7.1430807536220289E-2</c:v>
                </c:pt>
              </c:numCache>
            </c:numRef>
          </c:val>
          <c:smooth val="0"/>
          <c:extLst>
            <c:ext xmlns:c16="http://schemas.microsoft.com/office/drawing/2014/chart" uri="{C3380CC4-5D6E-409C-BE32-E72D297353CC}">
              <c16:uniqueId val="{00000002-63DE-F145-ADFA-A270FD85BCB3}"/>
            </c:ext>
          </c:extLst>
        </c:ser>
        <c:dLbls>
          <c:showLegendKey val="0"/>
          <c:showVal val="0"/>
          <c:showCatName val="0"/>
          <c:showSerName val="0"/>
          <c:showPercent val="0"/>
          <c:showBubbleSize val="0"/>
        </c:dLbls>
        <c:smooth val="0"/>
        <c:axId val="1997909824"/>
        <c:axId val="1997907648"/>
      </c:lineChart>
      <c:dateAx>
        <c:axId val="1997909824"/>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vert="horz" wrap="none" lIns="0" tIns="0" rIns="0" bIns="0" anchor="ctr" anchorCtr="1"/>
              <a:lstStyle/>
              <a:p>
                <a:pPr algn="l">
                  <a:defRPr sz="2000" b="1" i="0" u="none">
                    <a:solidFill>
                      <a:sysClr val="windowText" lastClr="000000"/>
                    </a:solidFill>
                    <a:latin typeface="+mn-lt"/>
                    <a:ea typeface="+mn-ea"/>
                    <a:cs typeface="+mn-ea"/>
                    <a:sym typeface="+mn-ea"/>
                  </a:defRPr>
                </a:pPr>
                <a:r>
                  <a:rPr lang="en-US" sz="2000" b="1" i="0" u="none">
                    <a:solidFill>
                      <a:sysClr val="windowText" lastClr="000000"/>
                    </a:solidFill>
                    <a:latin typeface="+mn-lt"/>
                    <a:ea typeface="+mn-ea"/>
                    <a:cs typeface="+mn-ea"/>
                    <a:sym typeface="+mn-ea"/>
                  </a:rPr>
                  <a:t>month.</a:t>
                </a:r>
                <a:endParaRPr lang="en-US"/>
              </a:p>
            </c:rich>
          </c:tx>
          <c:overlay val="0"/>
          <c:spPr>
            <a:noFill/>
            <a:ln>
              <a:noFill/>
            </a:ln>
            <a:effectLst/>
          </c:spPr>
        </c:title>
        <c:numFmt formatCode="General" sourceLinked="1"/>
        <c:majorTickMark val="none"/>
        <c:minorTickMark val="none"/>
        <c:tickLblPos val="nextTo"/>
        <c:spPr>
          <a:noFill/>
          <a:ln w="19050" cap="flat" cmpd="sng" algn="ctr">
            <a:solidFill>
              <a:schemeClr val="tx1"/>
            </a:solidFill>
            <a:round/>
          </a:ln>
          <a:effectLst/>
        </c:spPr>
        <c:txPr>
          <a:bodyPr rot="0" vert="horz" wrap="none" lIns="0" tIns="0" rIns="0" bIns="0" anchor="ctr" anchorCtr="1"/>
          <a:lstStyle/>
          <a:p>
            <a:pPr algn="l">
              <a:defRPr sz="900" b="0" i="0" u="none">
                <a:ln w="0">
                  <a:noFill/>
                </a:ln>
                <a:solidFill>
                  <a:schemeClr val="tx1">
                    <a:lumMod val="65000"/>
                    <a:lumOff val="35000"/>
                  </a:schemeClr>
                </a:solidFill>
                <a:latin typeface="+mn-lt"/>
                <a:ea typeface="+mn-ea"/>
                <a:cs typeface="+mn-ea"/>
                <a:sym typeface="+mn-ea"/>
              </a:defRPr>
            </a:pPr>
            <a:endParaRPr lang="ko-KR"/>
          </a:p>
        </c:txPr>
        <c:crossAx val="1997907648"/>
        <c:crossesAt val="0"/>
        <c:auto val="0"/>
        <c:lblOffset val="100"/>
        <c:baseTimeUnit val="days"/>
      </c:dateAx>
      <c:valAx>
        <c:axId val="1997907648"/>
        <c:scaling>
          <c:orientation val="minMax"/>
          <c:max val="0.60000000000000009"/>
          <c:min val="-0.5"/>
        </c:scaling>
        <c:delete val="0"/>
        <c:axPos val="l"/>
        <c:majorGridlines>
          <c:spPr>
            <a:ln w="9525" cap="flat" cmpd="sng" algn="ctr">
              <a:solidFill>
                <a:schemeClr val="tx1">
                  <a:lumMod val="15000"/>
                  <a:lumOff val="85000"/>
                </a:schemeClr>
              </a:solidFill>
              <a:round/>
            </a:ln>
            <a:effectLst/>
          </c:spPr>
        </c:majorGridlines>
        <c:title>
          <c:tx>
            <c:rich>
              <a:bodyPr vert="vert270" wrap="none" lIns="0" tIns="0" rIns="0" bIns="0" anchor="ctr" anchorCtr="1"/>
              <a:lstStyle/>
              <a:p>
                <a:pPr algn="l">
                  <a:defRPr sz="1500" b="1" i="0" u="none">
                    <a:solidFill>
                      <a:sysClr val="windowText" lastClr="000000"/>
                    </a:solidFill>
                    <a:latin typeface="+mn-lt"/>
                    <a:ea typeface="+mn-ea"/>
                    <a:cs typeface="+mn-ea"/>
                    <a:sym typeface="+mn-ea"/>
                  </a:defRPr>
                </a:pPr>
                <a:r>
                  <a:rPr lang="en-US" sz="1500" b="1" i="0" u="none">
                    <a:solidFill>
                      <a:sysClr val="windowText" lastClr="000000"/>
                    </a:solidFill>
                    <a:latin typeface="+mn-lt"/>
                    <a:ea typeface="+mn-ea"/>
                    <a:cs typeface="+mn-ea"/>
                    <a:sym typeface="+mn-ea"/>
                  </a:rPr>
                  <a:t>cunulative returns</a:t>
                </a:r>
                <a:endParaRPr lang="en-US"/>
              </a:p>
            </c:rich>
          </c:tx>
          <c:overlay val="0"/>
          <c:spPr>
            <a:noFill/>
            <a:ln>
              <a:noFill/>
            </a:ln>
            <a:effectLst/>
          </c:spPr>
        </c:title>
        <c:numFmt formatCode="General" sourceLinked="1"/>
        <c:majorTickMark val="none"/>
        <c:minorTickMark val="none"/>
        <c:tickLblPos val="nextTo"/>
        <c:spPr>
          <a:noFill/>
          <a:ln w="25400">
            <a:solidFill>
              <a:schemeClr val="tx1"/>
            </a:solid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1997909824"/>
        <c:crosses val="autoZero"/>
        <c:crossBetween val="midCat"/>
        <c:majorUnit val="0.1"/>
      </c:valAx>
      <c:spPr>
        <a:noFill/>
        <a:ln w="25400">
          <a:noFill/>
        </a:ln>
        <a:effectLst/>
      </c:spPr>
    </c:plotArea>
    <c:legend>
      <c:legendPos val="tr"/>
      <c:legendEntry>
        <c:idx val="0"/>
        <c:txPr>
          <a:bodyPr rot="0" vert="horz" wrap="none" lIns="0" tIns="0" rIns="0" bIns="0" anchor="ctr" anchorCtr="1"/>
          <a:lstStyle/>
          <a:p>
            <a:pPr algn="l">
              <a:defRPr sz="1530" b="1" i="1" u="none" baseline="0">
                <a:solidFill>
                  <a:srgbClr val="FF0000"/>
                </a:solidFill>
                <a:latin typeface="+mn-lt"/>
                <a:ea typeface="+mn-ea"/>
                <a:cs typeface="+mn-ea"/>
                <a:sym typeface="+mn-ea"/>
              </a:defRPr>
            </a:pPr>
            <a:endParaRPr lang="ko-KR"/>
          </a:p>
        </c:txPr>
      </c:legendEntry>
      <c:legendEntry>
        <c:idx val="1"/>
        <c:txPr>
          <a:bodyPr rot="0" vert="horz" wrap="none" lIns="0" tIns="0" rIns="0" bIns="0" anchor="ctr" anchorCtr="1"/>
          <a:lstStyle/>
          <a:p>
            <a:pPr algn="l">
              <a:defRPr sz="1540" b="1" i="1" u="none" baseline="0">
                <a:solidFill>
                  <a:srgbClr val="0070C0"/>
                </a:solidFill>
                <a:latin typeface="+mn-lt"/>
                <a:ea typeface="+mn-ea"/>
                <a:cs typeface="+mn-ea"/>
                <a:sym typeface="+mn-ea"/>
              </a:defRPr>
            </a:pPr>
            <a:endParaRPr lang="ko-KR"/>
          </a:p>
        </c:txPr>
      </c:legendEntry>
      <c:legendEntry>
        <c:idx val="2"/>
        <c:txPr>
          <a:bodyPr rot="0" vert="horz" wrap="none" lIns="0" tIns="0" rIns="0" bIns="0" anchor="ctr" anchorCtr="1"/>
          <a:lstStyle/>
          <a:p>
            <a:pPr algn="l">
              <a:defRPr sz="1530" b="1" i="1" u="none" baseline="0">
                <a:solidFill>
                  <a:schemeClr val="accent6"/>
                </a:solidFill>
                <a:latin typeface="+mn-lt"/>
                <a:ea typeface="+mn-ea"/>
                <a:cs typeface="+mn-ea"/>
                <a:sym typeface="+mn-ea"/>
              </a:defRPr>
            </a:pPr>
            <a:endParaRPr lang="ko-KR"/>
          </a:p>
        </c:txPr>
      </c:legendEntry>
      <c:layout>
        <c:manualLayout>
          <c:xMode val="edge"/>
          <c:yMode val="edge"/>
          <c:x val="0.81744591697405944"/>
          <c:y val="0.11553330855028494"/>
          <c:w val="0.16846613406824357"/>
          <c:h val="0.12233565574480389"/>
        </c:manualLayout>
      </c:layout>
      <c:overlay val="0"/>
      <c:spPr>
        <a:noFill/>
        <a:ln w="9525">
          <a:noFill/>
        </a:ln>
        <a:effectLst/>
      </c:spPr>
      <c:txPr>
        <a:bodyPr rot="0" vert="horz" wrap="none" lIns="0" tIns="0" rIns="0" bIns="0" anchor="ctr" anchorCtr="1"/>
        <a:lstStyle/>
        <a:p>
          <a:pPr algn="l">
            <a:defRPr sz="1530" b="1" i="1" u="none" baseline="0">
              <a:solidFill>
                <a:sysClr val="windowText" lastClr="000000"/>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tx1">
          <a:lumMod val="15000"/>
          <a:lumOff val="8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ustomXml" Target="../ink/ink1.xml"/><Relationship Id="rId1" Type="http://schemas.openxmlformats.org/officeDocument/2006/relationships/chart" Target="../charts/chart7.xml"/><Relationship Id="rId5" Type="http://schemas.openxmlformats.org/officeDocument/2006/relationships/chart" Target="../charts/chart9.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48.xml"/><Relationship Id="rId2" Type="http://schemas.openxmlformats.org/officeDocument/2006/relationships/chart" Target="../charts/chart47.xml"/><Relationship Id="rId1" Type="http://schemas.openxmlformats.org/officeDocument/2006/relationships/chart" Target="../charts/chart46.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54.xml"/><Relationship Id="rId2" Type="http://schemas.openxmlformats.org/officeDocument/2006/relationships/chart" Target="../charts/chart53.xml"/><Relationship Id="rId1" Type="http://schemas.openxmlformats.org/officeDocument/2006/relationships/chart" Target="../charts/chart52.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57.xml"/><Relationship Id="rId2" Type="http://schemas.openxmlformats.org/officeDocument/2006/relationships/chart" Target="../charts/chart56.xml"/><Relationship Id="rId1" Type="http://schemas.openxmlformats.org/officeDocument/2006/relationships/chart" Target="../charts/chart55.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60.xml"/><Relationship Id="rId2" Type="http://schemas.openxmlformats.org/officeDocument/2006/relationships/chart" Target="../charts/chart59.xml"/><Relationship Id="rId1" Type="http://schemas.openxmlformats.org/officeDocument/2006/relationships/chart" Target="../charts/chart58.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63.xml"/><Relationship Id="rId2" Type="http://schemas.openxmlformats.org/officeDocument/2006/relationships/chart" Target="../charts/chart62.xml"/><Relationship Id="rId1" Type="http://schemas.openxmlformats.org/officeDocument/2006/relationships/chart" Target="../charts/chart61.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66.xml"/><Relationship Id="rId2" Type="http://schemas.openxmlformats.org/officeDocument/2006/relationships/chart" Target="../charts/chart65.xml"/><Relationship Id="rId1" Type="http://schemas.openxmlformats.org/officeDocument/2006/relationships/chart" Target="../charts/chart64.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69.xml"/><Relationship Id="rId2" Type="http://schemas.openxmlformats.org/officeDocument/2006/relationships/chart" Target="../charts/chart68.xml"/><Relationship Id="rId1" Type="http://schemas.openxmlformats.org/officeDocument/2006/relationships/chart" Target="../charts/chart67.xml"/></Relationships>
</file>

<file path=xl/drawings/_rels/drawing24.xml.rels><?xml version="1.0" encoding="UTF-8" standalone="yes"?>
<Relationships xmlns="http://schemas.openxmlformats.org/package/2006/relationships"><Relationship Id="rId3" Type="http://schemas.openxmlformats.org/officeDocument/2006/relationships/chart" Target="../charts/chart72.xml"/><Relationship Id="rId2" Type="http://schemas.openxmlformats.org/officeDocument/2006/relationships/chart" Target="../charts/chart71.xml"/><Relationship Id="rId1" Type="http://schemas.openxmlformats.org/officeDocument/2006/relationships/chart" Target="../charts/chart70.xml"/></Relationships>
</file>

<file path=xl/drawings/_rels/drawing25.xml.rels><?xml version="1.0" encoding="UTF-8" standalone="yes"?>
<Relationships xmlns="http://schemas.openxmlformats.org/package/2006/relationships"><Relationship Id="rId3" Type="http://schemas.openxmlformats.org/officeDocument/2006/relationships/chart" Target="../charts/chart75.xml"/><Relationship Id="rId2" Type="http://schemas.openxmlformats.org/officeDocument/2006/relationships/chart" Target="../charts/chart74.xml"/><Relationship Id="rId1" Type="http://schemas.openxmlformats.org/officeDocument/2006/relationships/chart" Target="../charts/chart73.xml"/></Relationships>
</file>

<file path=xl/drawings/drawing1.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1F3902D6-C7EA-EA43-B8D7-78A704E973B3}"/>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CA427609-CD27-C540-981C-7237343EB598}"/>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20819</xdr:colOff>
      <xdr:row>66</xdr:row>
      <xdr:rowOff>194717</xdr:rowOff>
    </xdr:from>
    <xdr:to>
      <xdr:col>27</xdr:col>
      <xdr:colOff>18527</xdr:colOff>
      <xdr:row>100</xdr:row>
      <xdr:rowOff>145739</xdr:rowOff>
    </xdr:to>
    <xdr:graphicFrame macro="">
      <xdr:nvGraphicFramePr>
        <xdr:cNvPr id="4" name="차트 5">
          <a:extLst>
            <a:ext uri="{FF2B5EF4-FFF2-40B4-BE49-F238E27FC236}">
              <a16:creationId xmlns:a16="http://schemas.microsoft.com/office/drawing/2014/main" id="{41091635-2C6C-8846-9C30-2C886CE4D379}"/>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8B580EAB-6B92-8B4C-BEF7-DCA7E3EBA931}"/>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301884</xdr:colOff>
      <xdr:row>36</xdr:row>
      <xdr:rowOff>20820</xdr:rowOff>
    </xdr:from>
    <xdr:to>
      <xdr:col>12</xdr:col>
      <xdr:colOff>320414</xdr:colOff>
      <xdr:row>63</xdr:row>
      <xdr:rowOff>180038</xdr:rowOff>
    </xdr:to>
    <xdr:graphicFrame macro="">
      <xdr:nvGraphicFramePr>
        <xdr:cNvPr id="3" name="차트 5">
          <a:extLst>
            <a:ext uri="{FF2B5EF4-FFF2-40B4-BE49-F238E27FC236}">
              <a16:creationId xmlns:a16="http://schemas.microsoft.com/office/drawing/2014/main" id="{5E4A9A0D-7863-B340-9588-421E6F26EFBD}"/>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445020</xdr:colOff>
      <xdr:row>73</xdr:row>
      <xdr:rowOff>41171</xdr:rowOff>
    </xdr:from>
    <xdr:to>
      <xdr:col>27</xdr:col>
      <xdr:colOff>405983</xdr:colOff>
      <xdr:row>100</xdr:row>
      <xdr:rowOff>202992</xdr:rowOff>
    </xdr:to>
    <xdr:graphicFrame macro="">
      <xdr:nvGraphicFramePr>
        <xdr:cNvPr id="4" name="차트 5">
          <a:extLst>
            <a:ext uri="{FF2B5EF4-FFF2-40B4-BE49-F238E27FC236}">
              <a16:creationId xmlns:a16="http://schemas.microsoft.com/office/drawing/2014/main" id="{46E43E53-A9BE-B045-A26B-C887DEED5AA2}"/>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412867</xdr:colOff>
      <xdr:row>26</xdr:row>
      <xdr:rowOff>21128</xdr:rowOff>
    </xdr:from>
    <xdr:to>
      <xdr:col>13</xdr:col>
      <xdr:colOff>509848</xdr:colOff>
      <xdr:row>52</xdr:row>
      <xdr:rowOff>67021</xdr:rowOff>
    </xdr:to>
    <xdr:graphicFrame macro="">
      <xdr:nvGraphicFramePr>
        <xdr:cNvPr id="2" name="차트 5">
          <a:extLst>
            <a:ext uri="{FF2B5EF4-FFF2-40B4-BE49-F238E27FC236}">
              <a16:creationId xmlns:a16="http://schemas.microsoft.com/office/drawing/2014/main" id="{8B5334F1-CFED-43D1-9DA2-476C346E6DF4}"/>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381000</xdr:colOff>
      <xdr:row>36</xdr:row>
      <xdr:rowOff>202602</xdr:rowOff>
    </xdr:from>
    <xdr:to>
      <xdr:col>10</xdr:col>
      <xdr:colOff>460661</xdr:colOff>
      <xdr:row>45</xdr:row>
      <xdr:rowOff>120545</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3" name="Encre 2">
              <a:extLst>
                <a:ext uri="{FF2B5EF4-FFF2-40B4-BE49-F238E27FC236}">
                  <a16:creationId xmlns:a16="http://schemas.microsoft.com/office/drawing/2014/main" id="{126BBF7E-DEB3-8D84-7F5B-538510B6D98F}"/>
                </a:ext>
              </a:extLst>
            </xdr14:cNvPr>
            <xdr14:cNvContentPartPr/>
          </xdr14:nvContentPartPr>
          <xdr14:nvPr macro=""/>
          <xdr14:xfrm>
            <a:off x="5974773" y="10506920"/>
            <a:ext cx="2019297" cy="1866240"/>
          </xdr14:xfrm>
        </xdr:contentPart>
      </mc:Choice>
      <mc:Fallback xmlns="">
        <xdr:pic>
          <xdr:nvPicPr>
            <xdr:cNvPr id="3" name="Encre 2">
              <a:extLst>
                <a:ext uri="{FF2B5EF4-FFF2-40B4-BE49-F238E27FC236}">
                  <a16:creationId xmlns:a16="http://schemas.microsoft.com/office/drawing/2014/main" id="{126BBF7E-DEB3-8D84-7F5B-538510B6D98F}"/>
                </a:ext>
              </a:extLst>
            </xdr:cNvPr>
            <xdr:cNvPicPr/>
          </xdr:nvPicPr>
          <xdr:blipFill>
            <a:blip xmlns:r="http://schemas.openxmlformats.org/officeDocument/2006/relationships" r:embed="rId3"/>
            <a:stretch>
              <a:fillRect/>
            </a:stretch>
          </xdr:blipFill>
          <xdr:spPr>
            <a:xfrm>
              <a:off x="5920762" y="10398920"/>
              <a:ext cx="2126959" cy="2081880"/>
            </a:xfrm>
            <a:prstGeom prst="rect">
              <a:avLst/>
            </a:prstGeom>
          </xdr:spPr>
        </xdr:pic>
      </mc:Fallback>
    </mc:AlternateContent>
    <xdr:clientData/>
  </xdr:twoCellAnchor>
  <xdr:twoCellAnchor>
    <xdr:from>
      <xdr:col>15</xdr:col>
      <xdr:colOff>25977</xdr:colOff>
      <xdr:row>29</xdr:row>
      <xdr:rowOff>8657</xdr:rowOff>
    </xdr:from>
    <xdr:to>
      <xdr:col>26</xdr:col>
      <xdr:colOff>199159</xdr:colOff>
      <xdr:row>50</xdr:row>
      <xdr:rowOff>147204</xdr:rowOff>
    </xdr:to>
    <xdr:sp macro="" textlink="">
      <xdr:nvSpPr>
        <xdr:cNvPr id="4" name="Rectangle 3">
          <a:extLst>
            <a:ext uri="{FF2B5EF4-FFF2-40B4-BE49-F238E27FC236}">
              <a16:creationId xmlns:a16="http://schemas.microsoft.com/office/drawing/2014/main" id="{14D1C80B-AEA7-9940-800A-2F4B16D18E40}"/>
            </a:ext>
          </a:extLst>
        </xdr:cNvPr>
        <xdr:cNvSpPr/>
      </xdr:nvSpPr>
      <xdr:spPr>
        <a:xfrm>
          <a:off x="10659341" y="8797635"/>
          <a:ext cx="6650182" cy="4684569"/>
        </a:xfrm>
        <a:prstGeom prst="rect">
          <a:avLst/>
        </a:prstGeom>
        <a:solidFill>
          <a:schemeClr val="bg1">
            <a:lumMod val="95000"/>
          </a:schemeClr>
        </a:solidFill>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r>
            <a:rPr lang="en-US" sz="1100">
              <a:solidFill>
                <a:sysClr val="windowText" lastClr="000000"/>
              </a:solidFill>
            </a:rPr>
            <a:t>INTERPRETATION/ANALYSIS:</a:t>
          </a:r>
        </a:p>
        <a:p>
          <a:pPr algn="l"/>
          <a:endParaRPr lang="en-US" sz="1100">
            <a:solidFill>
              <a:sysClr val="windowText" lastClr="000000"/>
            </a:solidFill>
          </a:endParaRPr>
        </a:p>
        <a:p>
          <a:pPr algn="l"/>
          <a:r>
            <a:rPr lang="en-US" sz="1100">
              <a:solidFill>
                <a:sysClr val="windowText" lastClr="000000"/>
              </a:solidFill>
            </a:rPr>
            <a:t>&gt;&gt; Current</a:t>
          </a:r>
          <a:r>
            <a:rPr lang="en-US" sz="1100" baseline="0">
              <a:solidFill>
                <a:sysClr val="windowText" lastClr="000000"/>
              </a:solidFill>
            </a:rPr>
            <a:t> Ratio measures short-term liquidity. In the airline industry, this ratio is usually very low (below 1) because passengers pay months in advance for their tickets, so it creates huge short-term liabilities until planes acutally fly</a:t>
          </a:r>
        </a:p>
        <a:p>
          <a:pPr algn="l"/>
          <a:endParaRPr lang="en-US" sz="1100" baseline="0">
            <a:solidFill>
              <a:sysClr val="windowText" lastClr="000000"/>
            </a:solidFill>
          </a:endParaRPr>
        </a:p>
        <a:p>
          <a:pPr algn="l"/>
          <a:r>
            <a:rPr lang="en-US" sz="1100" baseline="0">
              <a:solidFill>
                <a:sysClr val="windowText" lastClr="000000"/>
              </a:solidFill>
            </a:rPr>
            <a:t>What we can see here:</a:t>
          </a:r>
        </a:p>
        <a:p>
          <a:pPr algn="l"/>
          <a:r>
            <a:rPr lang="en-US" sz="1100" baseline="0">
              <a:solidFill>
                <a:sysClr val="windowText" lastClr="000000"/>
              </a:solidFill>
            </a:rPr>
            <a:t>&gt;&gt; From Month 1 to 14, Good and Bad group perform almost identically = just after the pandemic, market didn't care about liquidity, rising demand explain the increase in monthly return</a:t>
          </a:r>
        </a:p>
        <a:p>
          <a:pPr algn="l"/>
          <a:endParaRPr lang="en-US" sz="1100" baseline="0">
            <a:solidFill>
              <a:sysClr val="windowText" lastClr="000000"/>
            </a:solidFill>
          </a:endParaRPr>
        </a:p>
        <a:p>
          <a:pPr algn="l"/>
          <a:r>
            <a:rPr lang="en-US" sz="1100" baseline="0">
              <a:solidFill>
                <a:sysClr val="windowText" lastClr="000000"/>
              </a:solidFill>
            </a:rPr>
            <a:t>&gt;&gt;&gt; After Month 14, the lines begin to separate. With demand increasing, costs increased very much too, remmeber we are still recovering from pandemic, so fuel price, labor cost inflation, hit the industry. This is when the difference appear, BAD group had no cash cushion, not enough liquidity in hand to absorb these shocks, while GOOD group could last longer do to better current ratio</a:t>
          </a:r>
          <a:br>
            <a:rPr lang="en-US" sz="1100" baseline="0">
              <a:solidFill>
                <a:sysClr val="windowText" lastClr="000000"/>
              </a:solidFill>
            </a:rPr>
          </a:br>
          <a:br>
            <a:rPr lang="en-US" sz="1100" baseline="0">
              <a:solidFill>
                <a:sysClr val="windowText" lastClr="000000"/>
              </a:solidFill>
            </a:rPr>
          </a:br>
          <a:r>
            <a:rPr lang="en-US" sz="1100" baseline="0">
              <a:solidFill>
                <a:sysClr val="windowText" lastClr="000000"/>
              </a:solidFill>
            </a:rPr>
            <a:t>&gt;&gt;&gt; Starting from Month 19, the divergence becomes greater: GOOD group shoots up to nearly 25% cumultaive retuns, while BAD group stays under 10%</a:t>
          </a:r>
        </a:p>
        <a:p>
          <a:pPr algn="l"/>
          <a:endParaRPr lang="en-US" sz="1100" baseline="0">
            <a:solidFill>
              <a:sysClr val="windowText" lastClr="000000"/>
            </a:solidFill>
          </a:endParaRPr>
        </a:p>
        <a:p>
          <a:pPr algn="l"/>
          <a:r>
            <a:rPr lang="en-US" sz="1100" baseline="0">
              <a:solidFill>
                <a:sysClr val="windowText" lastClr="000000"/>
              </a:solidFill>
            </a:rPr>
            <a:t>CONCLUSION: Current Ratio did not predi immediate performance, it prediced long term strucural resilience: but strong liquidity determines if it can survive the turbulence in the long run</a:t>
          </a:r>
          <a:endParaRPr lang="en-US" sz="1100">
            <a:solidFill>
              <a:sysClr val="windowText" lastClr="000000"/>
            </a:solidFill>
          </a:endParaRPr>
        </a:p>
      </xdr:txBody>
    </xdr:sp>
    <xdr:clientData/>
  </xdr:twoCellAnchor>
  <xdr:twoCellAnchor>
    <xdr:from>
      <xdr:col>2</xdr:col>
      <xdr:colOff>371030</xdr:colOff>
      <xdr:row>63</xdr:row>
      <xdr:rowOff>40318</xdr:rowOff>
    </xdr:from>
    <xdr:to>
      <xdr:col>13</xdr:col>
      <xdr:colOff>509848</xdr:colOff>
      <xdr:row>90</xdr:row>
      <xdr:rowOff>199535</xdr:rowOff>
    </xdr:to>
    <xdr:graphicFrame macro="">
      <xdr:nvGraphicFramePr>
        <xdr:cNvPr id="5" name="차트 5">
          <a:extLst>
            <a:ext uri="{FF2B5EF4-FFF2-40B4-BE49-F238E27FC236}">
              <a16:creationId xmlns:a16="http://schemas.microsoft.com/office/drawing/2014/main" id="{CB903D5B-CD75-D349-8E03-BC35ECFEE044}"/>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37796</xdr:colOff>
      <xdr:row>63</xdr:row>
      <xdr:rowOff>105834</xdr:rowOff>
    </xdr:from>
    <xdr:to>
      <xdr:col>33</xdr:col>
      <xdr:colOff>544283</xdr:colOff>
      <xdr:row>91</xdr:row>
      <xdr:rowOff>51793</xdr:rowOff>
    </xdr:to>
    <xdr:graphicFrame macro="">
      <xdr:nvGraphicFramePr>
        <xdr:cNvPr id="6" name="차트 5">
          <a:extLst>
            <a:ext uri="{FF2B5EF4-FFF2-40B4-BE49-F238E27FC236}">
              <a16:creationId xmlns:a16="http://schemas.microsoft.com/office/drawing/2014/main" id="{311F2D36-7766-544A-888B-1BAE477BB4A1}"/>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64A140C7-7EF7-E04F-B833-34AF95C8256F}"/>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476250</xdr:colOff>
      <xdr:row>36</xdr:row>
      <xdr:rowOff>20820</xdr:rowOff>
    </xdr:from>
    <xdr:to>
      <xdr:col>12</xdr:col>
      <xdr:colOff>3538</xdr:colOff>
      <xdr:row>63</xdr:row>
      <xdr:rowOff>180038</xdr:rowOff>
    </xdr:to>
    <xdr:graphicFrame macro="">
      <xdr:nvGraphicFramePr>
        <xdr:cNvPr id="3" name="차트 5">
          <a:extLst>
            <a:ext uri="{FF2B5EF4-FFF2-40B4-BE49-F238E27FC236}">
              <a16:creationId xmlns:a16="http://schemas.microsoft.com/office/drawing/2014/main" id="{7012BE6D-2ABE-0247-B0F8-E9CB0EAD8939}"/>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13607</xdr:colOff>
      <xdr:row>67</xdr:row>
      <xdr:rowOff>0</xdr:rowOff>
    </xdr:from>
    <xdr:to>
      <xdr:col>26</xdr:col>
      <xdr:colOff>530137</xdr:colOff>
      <xdr:row>100</xdr:row>
      <xdr:rowOff>176150</xdr:rowOff>
    </xdr:to>
    <xdr:graphicFrame macro="">
      <xdr:nvGraphicFramePr>
        <xdr:cNvPr id="4" name="차트 5">
          <a:extLst>
            <a:ext uri="{FF2B5EF4-FFF2-40B4-BE49-F238E27FC236}">
              <a16:creationId xmlns:a16="http://schemas.microsoft.com/office/drawing/2014/main" id="{419638A8-B93D-F346-B56D-01B9DBD318E4}"/>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052995D7-AB92-B841-ACC2-5DB217CA3857}"/>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462642</xdr:colOff>
      <xdr:row>36</xdr:row>
      <xdr:rowOff>20820</xdr:rowOff>
    </xdr:from>
    <xdr:to>
      <xdr:col>12</xdr:col>
      <xdr:colOff>3991</xdr:colOff>
      <xdr:row>63</xdr:row>
      <xdr:rowOff>180038</xdr:rowOff>
    </xdr:to>
    <xdr:graphicFrame macro="">
      <xdr:nvGraphicFramePr>
        <xdr:cNvPr id="4" name="차트 5">
          <a:extLst>
            <a:ext uri="{FF2B5EF4-FFF2-40B4-BE49-F238E27FC236}">
              <a16:creationId xmlns:a16="http://schemas.microsoft.com/office/drawing/2014/main" id="{47CB05A7-99CA-A643-9AE0-5358889623E6}"/>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142875</xdr:colOff>
      <xdr:row>66</xdr:row>
      <xdr:rowOff>165554</xdr:rowOff>
    </xdr:from>
    <xdr:to>
      <xdr:col>26</xdr:col>
      <xdr:colOff>391335</xdr:colOff>
      <xdr:row>100</xdr:row>
      <xdr:rowOff>107058</xdr:rowOff>
    </xdr:to>
    <xdr:graphicFrame macro="">
      <xdr:nvGraphicFramePr>
        <xdr:cNvPr id="5" name="차트 5">
          <a:extLst>
            <a:ext uri="{FF2B5EF4-FFF2-40B4-BE49-F238E27FC236}">
              <a16:creationId xmlns:a16="http://schemas.microsoft.com/office/drawing/2014/main" id="{8E5F0DE7-4F16-5846-9B94-93FF31C82800}"/>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5F2818D7-222A-8545-9E3B-C847BE2E9A54}"/>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177800</xdr:colOff>
      <xdr:row>36</xdr:row>
      <xdr:rowOff>20820</xdr:rowOff>
    </xdr:from>
    <xdr:to>
      <xdr:col>12</xdr:col>
      <xdr:colOff>3538</xdr:colOff>
      <xdr:row>63</xdr:row>
      <xdr:rowOff>180038</xdr:rowOff>
    </xdr:to>
    <xdr:graphicFrame macro="">
      <xdr:nvGraphicFramePr>
        <xdr:cNvPr id="3" name="차트 5">
          <a:extLst>
            <a:ext uri="{FF2B5EF4-FFF2-40B4-BE49-F238E27FC236}">
              <a16:creationId xmlns:a16="http://schemas.microsoft.com/office/drawing/2014/main" id="{C912A88F-14F7-E248-A169-579D532DE381}"/>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609600</xdr:colOff>
      <xdr:row>67</xdr:row>
      <xdr:rowOff>0</xdr:rowOff>
    </xdr:from>
    <xdr:to>
      <xdr:col>26</xdr:col>
      <xdr:colOff>547071</xdr:colOff>
      <xdr:row>100</xdr:row>
      <xdr:rowOff>186267</xdr:rowOff>
    </xdr:to>
    <xdr:graphicFrame macro="">
      <xdr:nvGraphicFramePr>
        <xdr:cNvPr id="4" name="차트 5">
          <a:extLst>
            <a:ext uri="{FF2B5EF4-FFF2-40B4-BE49-F238E27FC236}">
              <a16:creationId xmlns:a16="http://schemas.microsoft.com/office/drawing/2014/main" id="{4EC35C08-8F05-F848-94A4-EEAAB1C0E390}"/>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39BEE5FA-0E2B-4C42-BB9A-564767618DE5}"/>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282989</xdr:colOff>
      <xdr:row>36</xdr:row>
      <xdr:rowOff>20820</xdr:rowOff>
    </xdr:from>
    <xdr:to>
      <xdr:col>12</xdr:col>
      <xdr:colOff>1330</xdr:colOff>
      <xdr:row>63</xdr:row>
      <xdr:rowOff>180038</xdr:rowOff>
    </xdr:to>
    <xdr:graphicFrame macro="">
      <xdr:nvGraphicFramePr>
        <xdr:cNvPr id="3" name="차트 5">
          <a:extLst>
            <a:ext uri="{FF2B5EF4-FFF2-40B4-BE49-F238E27FC236}">
              <a16:creationId xmlns:a16="http://schemas.microsoft.com/office/drawing/2014/main" id="{759FD572-7F0F-F345-8F4F-BE8AF4BF97A7}"/>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241575</xdr:colOff>
      <xdr:row>67</xdr:row>
      <xdr:rowOff>0</xdr:rowOff>
    </xdr:from>
    <xdr:to>
      <xdr:col>26</xdr:col>
      <xdr:colOff>567684</xdr:colOff>
      <xdr:row>100</xdr:row>
      <xdr:rowOff>184058</xdr:rowOff>
    </xdr:to>
    <xdr:graphicFrame macro="">
      <xdr:nvGraphicFramePr>
        <xdr:cNvPr id="4" name="차트 5">
          <a:extLst>
            <a:ext uri="{FF2B5EF4-FFF2-40B4-BE49-F238E27FC236}">
              <a16:creationId xmlns:a16="http://schemas.microsoft.com/office/drawing/2014/main" id="{9FCFB7EB-D4D5-4545-A0E2-A31B1EC29B06}"/>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E6D8EBCD-5FAA-0B44-87AE-F80C4B405BB5}"/>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132726</xdr:colOff>
      <xdr:row>36</xdr:row>
      <xdr:rowOff>20820</xdr:rowOff>
    </xdr:from>
    <xdr:to>
      <xdr:col>12</xdr:col>
      <xdr:colOff>313</xdr:colOff>
      <xdr:row>63</xdr:row>
      <xdr:rowOff>180038</xdr:rowOff>
    </xdr:to>
    <xdr:graphicFrame macro="">
      <xdr:nvGraphicFramePr>
        <xdr:cNvPr id="3" name="차트 5">
          <a:extLst>
            <a:ext uri="{FF2B5EF4-FFF2-40B4-BE49-F238E27FC236}">
              <a16:creationId xmlns:a16="http://schemas.microsoft.com/office/drawing/2014/main" id="{EDA36796-1E3C-F24B-ACCE-30261261DC24}"/>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515287</xdr:colOff>
      <xdr:row>73</xdr:row>
      <xdr:rowOff>20819</xdr:rowOff>
    </xdr:from>
    <xdr:to>
      <xdr:col>26</xdr:col>
      <xdr:colOff>580659</xdr:colOff>
      <xdr:row>100</xdr:row>
      <xdr:rowOff>180037</xdr:rowOff>
    </xdr:to>
    <xdr:graphicFrame macro="">
      <xdr:nvGraphicFramePr>
        <xdr:cNvPr id="4" name="차트 5">
          <a:extLst>
            <a:ext uri="{FF2B5EF4-FFF2-40B4-BE49-F238E27FC236}">
              <a16:creationId xmlns:a16="http://schemas.microsoft.com/office/drawing/2014/main" id="{2595C068-C56D-1B4D-8C1E-D8AE2C9879A1}"/>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7B831A5E-99F1-7A4F-8757-F58D79232E0A}"/>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36</xdr:row>
      <xdr:rowOff>20820</xdr:rowOff>
    </xdr:from>
    <xdr:to>
      <xdr:col>12</xdr:col>
      <xdr:colOff>5848</xdr:colOff>
      <xdr:row>63</xdr:row>
      <xdr:rowOff>180038</xdr:rowOff>
    </xdr:to>
    <xdr:graphicFrame macro="">
      <xdr:nvGraphicFramePr>
        <xdr:cNvPr id="3" name="차트 5">
          <a:extLst>
            <a:ext uri="{FF2B5EF4-FFF2-40B4-BE49-F238E27FC236}">
              <a16:creationId xmlns:a16="http://schemas.microsoft.com/office/drawing/2014/main" id="{2FAB3D67-0610-DF45-A0B0-38E3E6BD37DA}"/>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476249</xdr:colOff>
      <xdr:row>73</xdr:row>
      <xdr:rowOff>20819</xdr:rowOff>
    </xdr:from>
    <xdr:to>
      <xdr:col>27</xdr:col>
      <xdr:colOff>18529</xdr:colOff>
      <xdr:row>100</xdr:row>
      <xdr:rowOff>180037</xdr:rowOff>
    </xdr:to>
    <xdr:graphicFrame macro="">
      <xdr:nvGraphicFramePr>
        <xdr:cNvPr id="4" name="차트 5">
          <a:extLst>
            <a:ext uri="{FF2B5EF4-FFF2-40B4-BE49-F238E27FC236}">
              <a16:creationId xmlns:a16="http://schemas.microsoft.com/office/drawing/2014/main" id="{CB40E5C1-E8AE-A740-9AC2-D6A844C73901}"/>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17E1E2E5-71D6-9242-AD6C-F56A91398697}"/>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36</xdr:row>
      <xdr:rowOff>20820</xdr:rowOff>
    </xdr:from>
    <xdr:to>
      <xdr:col>12</xdr:col>
      <xdr:colOff>312</xdr:colOff>
      <xdr:row>63</xdr:row>
      <xdr:rowOff>180038</xdr:rowOff>
    </xdr:to>
    <xdr:graphicFrame macro="">
      <xdr:nvGraphicFramePr>
        <xdr:cNvPr id="3" name="차트 5">
          <a:extLst>
            <a:ext uri="{FF2B5EF4-FFF2-40B4-BE49-F238E27FC236}">
              <a16:creationId xmlns:a16="http://schemas.microsoft.com/office/drawing/2014/main" id="{AF1962C2-8ADC-5D42-A21C-C919BC8DA7AD}"/>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616782</xdr:colOff>
      <xdr:row>73</xdr:row>
      <xdr:rowOff>96291</xdr:rowOff>
    </xdr:from>
    <xdr:to>
      <xdr:col>27</xdr:col>
      <xdr:colOff>463548</xdr:colOff>
      <xdr:row>101</xdr:row>
      <xdr:rowOff>44711</xdr:rowOff>
    </xdr:to>
    <xdr:graphicFrame macro="">
      <xdr:nvGraphicFramePr>
        <xdr:cNvPr id="4" name="차트 5">
          <a:extLst>
            <a:ext uri="{FF2B5EF4-FFF2-40B4-BE49-F238E27FC236}">
              <a16:creationId xmlns:a16="http://schemas.microsoft.com/office/drawing/2014/main" id="{891AD4F9-47CE-FD4E-918E-F146B9E14CE8}"/>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A5835658-863B-454B-8580-1D66E6869D91}"/>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382560</xdr:colOff>
      <xdr:row>36</xdr:row>
      <xdr:rowOff>20820</xdr:rowOff>
    </xdr:from>
    <xdr:to>
      <xdr:col>12</xdr:col>
      <xdr:colOff>312</xdr:colOff>
      <xdr:row>63</xdr:row>
      <xdr:rowOff>180038</xdr:rowOff>
    </xdr:to>
    <xdr:graphicFrame macro="">
      <xdr:nvGraphicFramePr>
        <xdr:cNvPr id="3" name="차트 5">
          <a:extLst>
            <a:ext uri="{FF2B5EF4-FFF2-40B4-BE49-F238E27FC236}">
              <a16:creationId xmlns:a16="http://schemas.microsoft.com/office/drawing/2014/main" id="{0B158693-2E1D-5841-8707-1256043CCD4A}"/>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288872</xdr:colOff>
      <xdr:row>73</xdr:row>
      <xdr:rowOff>52050</xdr:rowOff>
    </xdr:from>
    <xdr:to>
      <xdr:col>27</xdr:col>
      <xdr:colOff>39347</xdr:colOff>
      <xdr:row>101</xdr:row>
      <xdr:rowOff>468</xdr:rowOff>
    </xdr:to>
    <xdr:graphicFrame macro="">
      <xdr:nvGraphicFramePr>
        <xdr:cNvPr id="4" name="차트 5">
          <a:extLst>
            <a:ext uri="{FF2B5EF4-FFF2-40B4-BE49-F238E27FC236}">
              <a16:creationId xmlns:a16="http://schemas.microsoft.com/office/drawing/2014/main" id="{644AC676-4EE8-474D-A74A-C175CA2D7A79}"/>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3ACB0896-181F-7F4A-B7D9-349BFABD7585}"/>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140534</xdr:colOff>
      <xdr:row>36</xdr:row>
      <xdr:rowOff>20820</xdr:rowOff>
    </xdr:from>
    <xdr:to>
      <xdr:col>12</xdr:col>
      <xdr:colOff>313</xdr:colOff>
      <xdr:row>63</xdr:row>
      <xdr:rowOff>180038</xdr:rowOff>
    </xdr:to>
    <xdr:graphicFrame macro="">
      <xdr:nvGraphicFramePr>
        <xdr:cNvPr id="3" name="차트 5">
          <a:extLst>
            <a:ext uri="{FF2B5EF4-FFF2-40B4-BE49-F238E27FC236}">
              <a16:creationId xmlns:a16="http://schemas.microsoft.com/office/drawing/2014/main" id="{E22B9713-9B16-F54B-8B99-8476F4A618F5}"/>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249836</xdr:colOff>
      <xdr:row>73</xdr:row>
      <xdr:rowOff>23422</xdr:rowOff>
    </xdr:from>
    <xdr:to>
      <xdr:col>27</xdr:col>
      <xdr:colOff>104410</xdr:colOff>
      <xdr:row>100</xdr:row>
      <xdr:rowOff>182640</xdr:rowOff>
    </xdr:to>
    <xdr:graphicFrame macro="">
      <xdr:nvGraphicFramePr>
        <xdr:cNvPr id="4" name="차트 5">
          <a:extLst>
            <a:ext uri="{FF2B5EF4-FFF2-40B4-BE49-F238E27FC236}">
              <a16:creationId xmlns:a16="http://schemas.microsoft.com/office/drawing/2014/main" id="{23ED64BD-0434-FE4A-BFBA-9A822B2311EA}"/>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77ECDE00-3B91-634B-A0AC-BBE400602A81}"/>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36</xdr:row>
      <xdr:rowOff>20820</xdr:rowOff>
    </xdr:from>
    <xdr:to>
      <xdr:col>12</xdr:col>
      <xdr:colOff>313</xdr:colOff>
      <xdr:row>63</xdr:row>
      <xdr:rowOff>180038</xdr:rowOff>
    </xdr:to>
    <xdr:graphicFrame macro="">
      <xdr:nvGraphicFramePr>
        <xdr:cNvPr id="3" name="차트 5">
          <a:extLst>
            <a:ext uri="{FF2B5EF4-FFF2-40B4-BE49-F238E27FC236}">
              <a16:creationId xmlns:a16="http://schemas.microsoft.com/office/drawing/2014/main" id="{C799F9B8-89FB-BB41-ACB7-068E1314D2E6}"/>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7805</xdr:colOff>
      <xdr:row>73</xdr:row>
      <xdr:rowOff>20819</xdr:rowOff>
    </xdr:from>
    <xdr:to>
      <xdr:col>26</xdr:col>
      <xdr:colOff>557236</xdr:colOff>
      <xdr:row>100</xdr:row>
      <xdr:rowOff>180037</xdr:rowOff>
    </xdr:to>
    <xdr:graphicFrame macro="">
      <xdr:nvGraphicFramePr>
        <xdr:cNvPr id="4" name="차트 5">
          <a:extLst>
            <a:ext uri="{FF2B5EF4-FFF2-40B4-BE49-F238E27FC236}">
              <a16:creationId xmlns:a16="http://schemas.microsoft.com/office/drawing/2014/main" id="{484AEE09-3DB6-9644-8E11-FD1A9C52CA01}"/>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3CDBBFB3-776B-9243-8364-A192A53385E8}"/>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288874</xdr:colOff>
      <xdr:row>36</xdr:row>
      <xdr:rowOff>20820</xdr:rowOff>
    </xdr:from>
    <xdr:to>
      <xdr:col>12</xdr:col>
      <xdr:colOff>313</xdr:colOff>
      <xdr:row>63</xdr:row>
      <xdr:rowOff>180038</xdr:rowOff>
    </xdr:to>
    <xdr:graphicFrame macro="">
      <xdr:nvGraphicFramePr>
        <xdr:cNvPr id="3" name="차트 5">
          <a:extLst>
            <a:ext uri="{FF2B5EF4-FFF2-40B4-BE49-F238E27FC236}">
              <a16:creationId xmlns:a16="http://schemas.microsoft.com/office/drawing/2014/main" id="{A37CE319-A1CB-9644-872D-1B5382D68F2F}"/>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242028</xdr:colOff>
      <xdr:row>73</xdr:row>
      <xdr:rowOff>20820</xdr:rowOff>
    </xdr:from>
    <xdr:to>
      <xdr:col>26</xdr:col>
      <xdr:colOff>580658</xdr:colOff>
      <xdr:row>100</xdr:row>
      <xdr:rowOff>180038</xdr:rowOff>
    </xdr:to>
    <xdr:graphicFrame macro="">
      <xdr:nvGraphicFramePr>
        <xdr:cNvPr id="4" name="차트 5">
          <a:extLst>
            <a:ext uri="{FF2B5EF4-FFF2-40B4-BE49-F238E27FC236}">
              <a16:creationId xmlns:a16="http://schemas.microsoft.com/office/drawing/2014/main" id="{BBD848C6-5531-264E-93BB-7404225A4263}"/>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2EE7FB3C-A56D-724D-834D-85059022737D}"/>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230909</xdr:colOff>
      <xdr:row>36</xdr:row>
      <xdr:rowOff>20820</xdr:rowOff>
    </xdr:from>
    <xdr:to>
      <xdr:col>12</xdr:col>
      <xdr:colOff>75</xdr:colOff>
      <xdr:row>63</xdr:row>
      <xdr:rowOff>180038</xdr:rowOff>
    </xdr:to>
    <xdr:graphicFrame macro="">
      <xdr:nvGraphicFramePr>
        <xdr:cNvPr id="3" name="차트 5">
          <a:extLst>
            <a:ext uri="{FF2B5EF4-FFF2-40B4-BE49-F238E27FC236}">
              <a16:creationId xmlns:a16="http://schemas.microsoft.com/office/drawing/2014/main" id="{441A8604-B52A-2C47-9089-8C68F3994956}"/>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310284</xdr:colOff>
      <xdr:row>66</xdr:row>
      <xdr:rowOff>211666</xdr:rowOff>
    </xdr:from>
    <xdr:to>
      <xdr:col>27</xdr:col>
      <xdr:colOff>2125</xdr:colOff>
      <xdr:row>100</xdr:row>
      <xdr:rowOff>159217</xdr:rowOff>
    </xdr:to>
    <xdr:graphicFrame macro="">
      <xdr:nvGraphicFramePr>
        <xdr:cNvPr id="4" name="차트 5">
          <a:extLst>
            <a:ext uri="{FF2B5EF4-FFF2-40B4-BE49-F238E27FC236}">
              <a16:creationId xmlns:a16="http://schemas.microsoft.com/office/drawing/2014/main" id="{881AC0B9-D756-4145-AAD9-ACFCC2E77C2E}"/>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21B3644A-E47E-4547-9D69-780E2ED46903}"/>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266989</xdr:colOff>
      <xdr:row>36</xdr:row>
      <xdr:rowOff>20820</xdr:rowOff>
    </xdr:from>
    <xdr:to>
      <xdr:col>12</xdr:col>
      <xdr:colOff>75</xdr:colOff>
      <xdr:row>63</xdr:row>
      <xdr:rowOff>180038</xdr:rowOff>
    </xdr:to>
    <xdr:graphicFrame macro="">
      <xdr:nvGraphicFramePr>
        <xdr:cNvPr id="3" name="차트 5">
          <a:extLst>
            <a:ext uri="{FF2B5EF4-FFF2-40B4-BE49-F238E27FC236}">
              <a16:creationId xmlns:a16="http://schemas.microsoft.com/office/drawing/2014/main" id="{027FC304-CEFC-9842-923C-8EBBBE5FCF24}"/>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562841</xdr:colOff>
      <xdr:row>73</xdr:row>
      <xdr:rowOff>7216</xdr:rowOff>
    </xdr:from>
    <xdr:to>
      <xdr:col>27</xdr:col>
      <xdr:colOff>88716</xdr:colOff>
      <xdr:row>100</xdr:row>
      <xdr:rowOff>166434</xdr:rowOff>
    </xdr:to>
    <xdr:graphicFrame macro="">
      <xdr:nvGraphicFramePr>
        <xdr:cNvPr id="4" name="차트 5">
          <a:extLst>
            <a:ext uri="{FF2B5EF4-FFF2-40B4-BE49-F238E27FC236}">
              <a16:creationId xmlns:a16="http://schemas.microsoft.com/office/drawing/2014/main" id="{6E857CA7-8E47-784E-A890-0CB534E5D72B}"/>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E4FA59D0-E138-D349-B117-27C27F2AC1B5}"/>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36</xdr:row>
      <xdr:rowOff>20820</xdr:rowOff>
    </xdr:from>
    <xdr:to>
      <xdr:col>12</xdr:col>
      <xdr:colOff>75</xdr:colOff>
      <xdr:row>63</xdr:row>
      <xdr:rowOff>180038</xdr:rowOff>
    </xdr:to>
    <xdr:graphicFrame macro="">
      <xdr:nvGraphicFramePr>
        <xdr:cNvPr id="3" name="차트 5">
          <a:extLst>
            <a:ext uri="{FF2B5EF4-FFF2-40B4-BE49-F238E27FC236}">
              <a16:creationId xmlns:a16="http://schemas.microsoft.com/office/drawing/2014/main" id="{93064299-4746-1041-8F7B-227E9A49CDCC}"/>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43295</xdr:colOff>
      <xdr:row>73</xdr:row>
      <xdr:rowOff>19242</xdr:rowOff>
    </xdr:from>
    <xdr:to>
      <xdr:col>27</xdr:col>
      <xdr:colOff>2124</xdr:colOff>
      <xdr:row>100</xdr:row>
      <xdr:rowOff>178460</xdr:rowOff>
    </xdr:to>
    <xdr:graphicFrame macro="">
      <xdr:nvGraphicFramePr>
        <xdr:cNvPr id="4" name="차트 5">
          <a:extLst>
            <a:ext uri="{FF2B5EF4-FFF2-40B4-BE49-F238E27FC236}">
              <a16:creationId xmlns:a16="http://schemas.microsoft.com/office/drawing/2014/main" id="{4F96F555-532F-6E4B-8095-6C7D873CA0CE}"/>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0B80304F-B230-A941-B6C5-B5297AFF63D2}"/>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454602</xdr:colOff>
      <xdr:row>36</xdr:row>
      <xdr:rowOff>64116</xdr:rowOff>
    </xdr:from>
    <xdr:to>
      <xdr:col>11</xdr:col>
      <xdr:colOff>505188</xdr:colOff>
      <xdr:row>64</xdr:row>
      <xdr:rowOff>6857</xdr:rowOff>
    </xdr:to>
    <xdr:graphicFrame macro="">
      <xdr:nvGraphicFramePr>
        <xdr:cNvPr id="3" name="차트 5">
          <a:extLst>
            <a:ext uri="{FF2B5EF4-FFF2-40B4-BE49-F238E27FC236}">
              <a16:creationId xmlns:a16="http://schemas.microsoft.com/office/drawing/2014/main" id="{F299AA59-7C2E-AE4F-B90D-88EBC8918E21}"/>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129887</xdr:colOff>
      <xdr:row>73</xdr:row>
      <xdr:rowOff>19242</xdr:rowOff>
    </xdr:from>
    <xdr:to>
      <xdr:col>27</xdr:col>
      <xdr:colOff>100742</xdr:colOff>
      <xdr:row>100</xdr:row>
      <xdr:rowOff>178460</xdr:rowOff>
    </xdr:to>
    <xdr:graphicFrame macro="">
      <xdr:nvGraphicFramePr>
        <xdr:cNvPr id="4" name="차트 5">
          <a:extLst>
            <a:ext uri="{FF2B5EF4-FFF2-40B4-BE49-F238E27FC236}">
              <a16:creationId xmlns:a16="http://schemas.microsoft.com/office/drawing/2014/main" id="{8D5602EC-768E-FD4C-9CC8-E97F7025939D}"/>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4FBB66E2-0C90-8A45-B534-80631979F8BE}"/>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11781128-6014-6140-AA00-66A0AD19DDA9}"/>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0</xdr:rowOff>
    </xdr:from>
    <xdr:to>
      <xdr:col>21</xdr:col>
      <xdr:colOff>310003</xdr:colOff>
      <xdr:row>103</xdr:row>
      <xdr:rowOff>159218</xdr:rowOff>
    </xdr:to>
    <xdr:graphicFrame macro="">
      <xdr:nvGraphicFramePr>
        <xdr:cNvPr id="4" name="차트 5">
          <a:extLst>
            <a:ext uri="{FF2B5EF4-FFF2-40B4-BE49-F238E27FC236}">
              <a16:creationId xmlns:a16="http://schemas.microsoft.com/office/drawing/2014/main" id="{F8DA18E8-B3E9-0D47-A3F7-BFB6682F9A69}"/>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645410</xdr:colOff>
      <xdr:row>24</xdr:row>
      <xdr:rowOff>0</xdr:rowOff>
    </xdr:from>
    <xdr:to>
      <xdr:col>7</xdr:col>
      <xdr:colOff>645411</xdr:colOff>
      <xdr:row>28</xdr:row>
      <xdr:rowOff>0</xdr:rowOff>
    </xdr:to>
    <xdr:sp macro="" textlink="">
      <xdr:nvSpPr>
        <xdr:cNvPr id="6" name="직사각형 5">
          <a:extLst>
            <a:ext uri="{FF2B5EF4-FFF2-40B4-BE49-F238E27FC236}">
              <a16:creationId xmlns:a16="http://schemas.microsoft.com/office/drawing/2014/main" id="{E4E812E0-C0B2-604F-AB0F-3574A4E34FA2}"/>
            </a:ext>
          </a:extLst>
        </xdr:cNvPr>
        <xdr:cNvSpPr/>
      </xdr:nvSpPr>
      <xdr:spPr>
        <a:xfrm>
          <a:off x="645410" y="7389091"/>
          <a:ext cx="4868334" cy="123151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ko-KR" sz="2400" b="1">
              <a:solidFill>
                <a:schemeClr val="tx1"/>
              </a:solidFill>
            </a:rPr>
            <a:t>Less Meaningful </a:t>
          </a:r>
          <a:endParaRPr lang="en-US" altLang="ko-KR" sz="2400" b="1">
            <a:solidFill>
              <a:schemeClr val="tx1"/>
            </a:solidFill>
          </a:endParaRPr>
        </a:p>
        <a:p>
          <a:pPr algn="ctr"/>
          <a:r>
            <a:rPr lang="ko-KR" altLang="ko-KR" sz="2400" b="1">
              <a:solidFill>
                <a:schemeClr val="tx1"/>
              </a:solidFill>
            </a:rPr>
            <a:t>for the Airline Industry</a:t>
          </a:r>
          <a:r>
            <a:rPr lang="ko-KR" altLang="en-US" sz="2400" b="1" baseline="0">
              <a:solidFill>
                <a:schemeClr val="tx1"/>
              </a:solidFill>
            </a:rPr>
            <a:t> </a:t>
          </a:r>
          <a:r>
            <a:rPr lang="en-US" altLang="ko-KR" sz="2400" b="1" baseline="0">
              <a:solidFill>
                <a:schemeClr val="tx1"/>
              </a:solidFill>
            </a:rPr>
            <a:t>these days</a:t>
          </a:r>
          <a:endParaRPr lang="ko-KR" altLang="en-US" sz="2400" b="1">
            <a:solidFill>
              <a:schemeClr val="tx1"/>
            </a:solidFill>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06F5D434-F5E2-1E40-B6FC-B0098A9A7691}"/>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645410</xdr:colOff>
      <xdr:row>36</xdr:row>
      <xdr:rowOff>20820</xdr:rowOff>
    </xdr:from>
    <xdr:to>
      <xdr:col>11</xdr:col>
      <xdr:colOff>663938</xdr:colOff>
      <xdr:row>63</xdr:row>
      <xdr:rowOff>180038</xdr:rowOff>
    </xdr:to>
    <xdr:graphicFrame macro="">
      <xdr:nvGraphicFramePr>
        <xdr:cNvPr id="3" name="차트 5">
          <a:extLst>
            <a:ext uri="{FF2B5EF4-FFF2-40B4-BE49-F238E27FC236}">
              <a16:creationId xmlns:a16="http://schemas.microsoft.com/office/drawing/2014/main" id="{579719ED-75B1-1942-83D3-33304B20AE15}"/>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76</xdr:row>
      <xdr:rowOff>0</xdr:rowOff>
    </xdr:from>
    <xdr:to>
      <xdr:col>21</xdr:col>
      <xdr:colOff>310003</xdr:colOff>
      <xdr:row>103</xdr:row>
      <xdr:rowOff>159218</xdr:rowOff>
    </xdr:to>
    <xdr:graphicFrame macro="">
      <xdr:nvGraphicFramePr>
        <xdr:cNvPr id="4" name="차트 5">
          <a:extLst>
            <a:ext uri="{FF2B5EF4-FFF2-40B4-BE49-F238E27FC236}">
              <a16:creationId xmlns:a16="http://schemas.microsoft.com/office/drawing/2014/main" id="{36F0B01B-BADB-014D-8FE6-4EDA1B10BAE5}"/>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24</xdr:row>
      <xdr:rowOff>0</xdr:rowOff>
    </xdr:from>
    <xdr:to>
      <xdr:col>8</xdr:col>
      <xdr:colOff>0</xdr:colOff>
      <xdr:row>28</xdr:row>
      <xdr:rowOff>0</xdr:rowOff>
    </xdr:to>
    <xdr:sp macro="" textlink="">
      <xdr:nvSpPr>
        <xdr:cNvPr id="5" name="직사각형 4">
          <a:extLst>
            <a:ext uri="{FF2B5EF4-FFF2-40B4-BE49-F238E27FC236}">
              <a16:creationId xmlns:a16="http://schemas.microsoft.com/office/drawing/2014/main" id="{98A14885-9555-BB44-9AA3-1B274AD838E2}"/>
            </a:ext>
          </a:extLst>
        </xdr:cNvPr>
        <xdr:cNvSpPr/>
      </xdr:nvSpPr>
      <xdr:spPr>
        <a:xfrm>
          <a:off x="654242" y="7389091"/>
          <a:ext cx="4868334" cy="123151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ko-KR" sz="2400" b="1">
              <a:solidFill>
                <a:schemeClr val="tx1"/>
              </a:solidFill>
            </a:rPr>
            <a:t>Less Meaningful </a:t>
          </a:r>
          <a:endParaRPr lang="en-US" altLang="ko-KR" sz="2400" b="1">
            <a:solidFill>
              <a:schemeClr val="tx1"/>
            </a:solidFill>
          </a:endParaRPr>
        </a:p>
        <a:p>
          <a:pPr algn="ctr"/>
          <a:r>
            <a:rPr lang="ko-KR" altLang="ko-KR" sz="2400" b="1">
              <a:solidFill>
                <a:schemeClr val="tx1"/>
              </a:solidFill>
            </a:rPr>
            <a:t>for the Airline Industry</a:t>
          </a:r>
          <a:r>
            <a:rPr lang="ko-KR" altLang="en-US" sz="2400" b="1" baseline="0">
              <a:solidFill>
                <a:schemeClr val="tx1"/>
              </a:solidFill>
            </a:rPr>
            <a:t> </a:t>
          </a:r>
          <a:r>
            <a:rPr lang="en-US" altLang="ko-KR" sz="2400" b="1" baseline="0">
              <a:solidFill>
                <a:schemeClr val="tx1"/>
              </a:solidFill>
            </a:rPr>
            <a:t>these days</a:t>
          </a:r>
          <a:endParaRPr lang="ko-KR" altLang="en-US" sz="2400" b="1">
            <a:solidFill>
              <a:schemeClr val="tx1"/>
            </a:solidFill>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59567DA7-91FC-E04A-BDED-7DC52D3D1A91}"/>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562840</xdr:colOff>
      <xdr:row>36</xdr:row>
      <xdr:rowOff>20820</xdr:rowOff>
    </xdr:from>
    <xdr:to>
      <xdr:col>12</xdr:col>
      <xdr:colOff>74</xdr:colOff>
      <xdr:row>63</xdr:row>
      <xdr:rowOff>180038</xdr:rowOff>
    </xdr:to>
    <xdr:graphicFrame macro="">
      <xdr:nvGraphicFramePr>
        <xdr:cNvPr id="3" name="차트 5">
          <a:extLst>
            <a:ext uri="{FF2B5EF4-FFF2-40B4-BE49-F238E27FC236}">
              <a16:creationId xmlns:a16="http://schemas.microsoft.com/office/drawing/2014/main" id="{B15337B9-FF27-254B-9498-AEFDC262328F}"/>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620569</xdr:colOff>
      <xdr:row>73</xdr:row>
      <xdr:rowOff>19242</xdr:rowOff>
    </xdr:from>
    <xdr:to>
      <xdr:col>27</xdr:col>
      <xdr:colOff>2125</xdr:colOff>
      <xdr:row>100</xdr:row>
      <xdr:rowOff>178460</xdr:rowOff>
    </xdr:to>
    <xdr:graphicFrame macro="">
      <xdr:nvGraphicFramePr>
        <xdr:cNvPr id="4" name="차트 5">
          <a:extLst>
            <a:ext uri="{FF2B5EF4-FFF2-40B4-BE49-F238E27FC236}">
              <a16:creationId xmlns:a16="http://schemas.microsoft.com/office/drawing/2014/main" id="{E0F7CE37-EC88-D242-85BB-B08D59A2CE3F}"/>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70836D5C-83A4-1349-A088-0703803D1953}"/>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324716</xdr:colOff>
      <xdr:row>36</xdr:row>
      <xdr:rowOff>20820</xdr:rowOff>
    </xdr:from>
    <xdr:to>
      <xdr:col>12</xdr:col>
      <xdr:colOff>75</xdr:colOff>
      <xdr:row>63</xdr:row>
      <xdr:rowOff>180038</xdr:rowOff>
    </xdr:to>
    <xdr:graphicFrame macro="">
      <xdr:nvGraphicFramePr>
        <xdr:cNvPr id="3" name="차트 5">
          <a:extLst>
            <a:ext uri="{FF2B5EF4-FFF2-40B4-BE49-F238E27FC236}">
              <a16:creationId xmlns:a16="http://schemas.microsoft.com/office/drawing/2014/main" id="{3D448FA1-E3B2-4A46-BBBD-F4FF2445E5AA}"/>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447385</xdr:colOff>
      <xdr:row>66</xdr:row>
      <xdr:rowOff>115454</xdr:rowOff>
    </xdr:from>
    <xdr:to>
      <xdr:col>26</xdr:col>
      <xdr:colOff>533697</xdr:colOff>
      <xdr:row>100</xdr:row>
      <xdr:rowOff>58195</xdr:rowOff>
    </xdr:to>
    <xdr:graphicFrame macro="">
      <xdr:nvGraphicFramePr>
        <xdr:cNvPr id="4" name="차트 5">
          <a:extLst>
            <a:ext uri="{FF2B5EF4-FFF2-40B4-BE49-F238E27FC236}">
              <a16:creationId xmlns:a16="http://schemas.microsoft.com/office/drawing/2014/main" id="{A51260CF-F02D-8E41-9A02-E03DA00CDEF7}"/>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D4882F2C-B042-9746-BAC5-731A8B9A10A4}"/>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43295</xdr:colOff>
      <xdr:row>36</xdr:row>
      <xdr:rowOff>85763</xdr:rowOff>
    </xdr:from>
    <xdr:to>
      <xdr:col>12</xdr:col>
      <xdr:colOff>476325</xdr:colOff>
      <xdr:row>64</xdr:row>
      <xdr:rowOff>28504</xdr:rowOff>
    </xdr:to>
    <xdr:graphicFrame macro="">
      <xdr:nvGraphicFramePr>
        <xdr:cNvPr id="3" name="차트 5">
          <a:extLst>
            <a:ext uri="{FF2B5EF4-FFF2-40B4-BE49-F238E27FC236}">
              <a16:creationId xmlns:a16="http://schemas.microsoft.com/office/drawing/2014/main" id="{F9EEF27E-0E12-9A43-8870-C2762B502E0E}"/>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50512</xdr:colOff>
      <xdr:row>73</xdr:row>
      <xdr:rowOff>19243</xdr:rowOff>
    </xdr:from>
    <xdr:to>
      <xdr:col>27</xdr:col>
      <xdr:colOff>2125</xdr:colOff>
      <xdr:row>100</xdr:row>
      <xdr:rowOff>178461</xdr:rowOff>
    </xdr:to>
    <xdr:graphicFrame macro="">
      <xdr:nvGraphicFramePr>
        <xdr:cNvPr id="4" name="차트 5">
          <a:extLst>
            <a:ext uri="{FF2B5EF4-FFF2-40B4-BE49-F238E27FC236}">
              <a16:creationId xmlns:a16="http://schemas.microsoft.com/office/drawing/2014/main" id="{9ED014C6-C2E6-6841-814A-17F5592377FE}"/>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218BE967-8DCD-DD44-998D-E910542ED337}"/>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36</xdr:row>
      <xdr:rowOff>20820</xdr:rowOff>
    </xdr:from>
    <xdr:to>
      <xdr:col>12</xdr:col>
      <xdr:colOff>75</xdr:colOff>
      <xdr:row>63</xdr:row>
      <xdr:rowOff>180038</xdr:rowOff>
    </xdr:to>
    <xdr:graphicFrame macro="">
      <xdr:nvGraphicFramePr>
        <xdr:cNvPr id="3" name="차트 5">
          <a:extLst>
            <a:ext uri="{FF2B5EF4-FFF2-40B4-BE49-F238E27FC236}">
              <a16:creationId xmlns:a16="http://schemas.microsoft.com/office/drawing/2014/main" id="{9C41D0C4-4EC2-1243-8F8E-1AE7DD812440}"/>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411306</xdr:colOff>
      <xdr:row>73</xdr:row>
      <xdr:rowOff>19243</xdr:rowOff>
    </xdr:from>
    <xdr:to>
      <xdr:col>27</xdr:col>
      <xdr:colOff>21367</xdr:colOff>
      <xdr:row>100</xdr:row>
      <xdr:rowOff>178461</xdr:rowOff>
    </xdr:to>
    <xdr:graphicFrame macro="">
      <xdr:nvGraphicFramePr>
        <xdr:cNvPr id="4" name="차트 5">
          <a:extLst>
            <a:ext uri="{FF2B5EF4-FFF2-40B4-BE49-F238E27FC236}">
              <a16:creationId xmlns:a16="http://schemas.microsoft.com/office/drawing/2014/main" id="{581BDBF1-64F4-BE4A-B5D5-82735C4DB223}"/>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13</xdr:col>
      <xdr:colOff>20820</xdr:colOff>
      <xdr:row>36</xdr:row>
      <xdr:rowOff>39725</xdr:rowOff>
    </xdr:from>
    <xdr:to>
      <xdr:col>27</xdr:col>
      <xdr:colOff>18528</xdr:colOff>
      <xdr:row>63</xdr:row>
      <xdr:rowOff>198943</xdr:rowOff>
    </xdr:to>
    <xdr:graphicFrame macro="">
      <xdr:nvGraphicFramePr>
        <xdr:cNvPr id="2" name="차트 5">
          <a:extLst>
            <a:ext uri="{FF2B5EF4-FFF2-40B4-BE49-F238E27FC236}">
              <a16:creationId xmlns:a16="http://schemas.microsoft.com/office/drawing/2014/main" id="{2A2277F9-CF9B-F443-B1D2-3D3F934550F5}"/>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158750</xdr:colOff>
      <xdr:row>36</xdr:row>
      <xdr:rowOff>20820</xdr:rowOff>
    </xdr:from>
    <xdr:to>
      <xdr:col>12</xdr:col>
      <xdr:colOff>75</xdr:colOff>
      <xdr:row>63</xdr:row>
      <xdr:rowOff>180038</xdr:rowOff>
    </xdr:to>
    <xdr:graphicFrame macro="">
      <xdr:nvGraphicFramePr>
        <xdr:cNvPr id="3" name="차트 5">
          <a:extLst>
            <a:ext uri="{FF2B5EF4-FFF2-40B4-BE49-F238E27FC236}">
              <a16:creationId xmlns:a16="http://schemas.microsoft.com/office/drawing/2014/main" id="{813957AD-02C8-4048-A1C0-0B26AA8102F2}"/>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194829</xdr:colOff>
      <xdr:row>66</xdr:row>
      <xdr:rowOff>165965</xdr:rowOff>
    </xdr:from>
    <xdr:to>
      <xdr:col>27</xdr:col>
      <xdr:colOff>204171</xdr:colOff>
      <xdr:row>100</xdr:row>
      <xdr:rowOff>144786</xdr:rowOff>
    </xdr:to>
    <xdr:graphicFrame macro="">
      <xdr:nvGraphicFramePr>
        <xdr:cNvPr id="4" name="차트 5">
          <a:extLst>
            <a:ext uri="{FF2B5EF4-FFF2-40B4-BE49-F238E27FC236}">
              <a16:creationId xmlns:a16="http://schemas.microsoft.com/office/drawing/2014/main" id="{CD2C8474-616F-5E4F-9681-8328318A844B}"/>
            </a:ext>
            <a:ext uri="{147F2762-F138-4A5C-976F-8EAC2B608ADB}">
              <a16:predDERef xmlns:a16="http://schemas.microsoft.com/office/drawing/2014/main" pred="{4DC2692F-F9E5-490D-BEAC-6E6375BF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6-02T13:09:32.902"/>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2187 207,'-83'0,"-157"2,194 0,0 1,1 1,-56 9,19 1,0 2,2 1,2 3,1 1,2 2,-79 32,71-21,2 3,-101 58,138-69,2 2,2 1,2 1,-55 58,35-18,6 0,6 2,6 1,5 0,7 2,6 0,-5 110,28-54,2-51,-18 85,-60 396,104 202,7-484,-19-200,55 116,-41-133,189 321,48-91,55-17,-269-234,124 74,-135-92,3-1,1-1,1-1,59 19,-8-11,1-1,3-3,1-2,3-3,0-2,119 10,-159-21,0-1,0-1,1-3,129-5,-145 1,-1-2,1-1,-2-1,0-1,0-1,87-24,-9-8,180-76,-99 26,92-36,-217 98,-15 6,-2-2,-2-1,101-52,-101 38,-2-2,62-55,84-95,-159 144,18-18,-5-1,56-84,-73 70,-8-1,-6 0,-7-2,4-86,-24-343,-13 298,9 92,-6-104,-5 163,-6 1,-5 1,-47-80,-146-175,-21 14,200 256,-44-91,58 94,-4 1,-3 0,-4 2,-3-1,-4 2,-90-70,40 38,-28-19,92 73,-2 1,-1 1,-34-15,-92-31,51 22,40 16,-84-23,18 6,-442-122,503 148,-123-17,92 17,14 1,0 3,-1 2,-1 1,-111-1,166 7,1 0,-1-1,1-1,1 0,-36-9,61 12,-40-7</inkml:trace>
</inkm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CD617-C853-4C35-B94F-B7A12EA74EBE}">
  <dimension ref="A1:CL89"/>
  <sheetViews>
    <sheetView tabSelected="1" zoomScale="40" zoomScaleNormal="40" zoomScaleSheetLayoutView="100" workbookViewId="0">
      <selection activeCell="AC34" sqref="AC34:AC39"/>
    </sheetView>
  </sheetViews>
  <sheetFormatPr baseColWidth="10" defaultColWidth="8.6875" defaultRowHeight="16.899999999999999"/>
  <cols>
    <col min="1" max="1" width="5.3125" style="1" customWidth="1"/>
    <col min="2" max="2" width="18.1875" style="1" customWidth="1"/>
    <col min="3" max="4" width="13.1875" style="1" customWidth="1"/>
    <col min="5" max="5" width="13.1875" style="16" customWidth="1"/>
    <col min="6" max="53" width="13.1875" style="1" customWidth="1"/>
    <col min="54" max="70" width="6.6875" style="1" customWidth="1"/>
    <col min="71" max="16384" width="8.6875" style="1"/>
  </cols>
  <sheetData>
    <row r="1" spans="1:76" ht="17.25" thickBot="1"/>
    <row r="2" spans="1:76" ht="17.55" customHeight="1">
      <c r="B2" s="234" t="s">
        <v>0</v>
      </c>
      <c r="C2" s="235"/>
      <c r="D2" s="2"/>
      <c r="E2" s="2"/>
      <c r="F2" s="2"/>
      <c r="G2" s="2"/>
      <c r="H2" s="2"/>
      <c r="I2" s="2"/>
      <c r="J2" s="2"/>
      <c r="K2" s="2"/>
      <c r="L2" s="2"/>
      <c r="M2" s="2"/>
      <c r="N2" s="2"/>
      <c r="O2" s="2"/>
    </row>
    <row r="3" spans="1:76" ht="17.25" thickBot="1">
      <c r="B3" s="236"/>
      <c r="C3" s="237"/>
      <c r="D3" s="2"/>
      <c r="E3" s="2"/>
      <c r="F3" s="2"/>
      <c r="G3" s="2"/>
      <c r="H3" s="2"/>
      <c r="I3" s="2"/>
      <c r="J3" s="2"/>
      <c r="K3" s="2"/>
      <c r="L3" s="2"/>
      <c r="M3" s="2"/>
      <c r="N3" s="2"/>
      <c r="O3" s="2"/>
    </row>
    <row r="5" spans="1:76">
      <c r="B5" s="238" t="s">
        <v>1</v>
      </c>
      <c r="C5" s="3" t="s">
        <v>2</v>
      </c>
      <c r="D5" s="4">
        <v>2022</v>
      </c>
      <c r="E5" s="5"/>
      <c r="F5" s="5"/>
      <c r="G5" s="5"/>
      <c r="H5" s="5"/>
      <c r="I5" s="5"/>
      <c r="J5" s="5"/>
      <c r="K5" s="5"/>
      <c r="L5" s="5"/>
      <c r="M5" s="5"/>
      <c r="N5" s="5"/>
      <c r="O5" s="6"/>
      <c r="P5" s="4">
        <v>2023</v>
      </c>
      <c r="Q5" s="5"/>
      <c r="R5" s="5"/>
      <c r="S5" s="5"/>
      <c r="T5" s="5"/>
      <c r="U5" s="5"/>
      <c r="V5" s="5"/>
      <c r="W5" s="5"/>
      <c r="X5" s="5"/>
      <c r="Y5" s="5"/>
      <c r="Z5" s="5"/>
      <c r="AA5" s="6"/>
      <c r="AB5" s="4">
        <v>2024</v>
      </c>
      <c r="AC5" s="5"/>
      <c r="AD5" s="5"/>
      <c r="AE5" s="5"/>
      <c r="AF5" s="5"/>
      <c r="AG5" s="5"/>
      <c r="AH5" s="5"/>
      <c r="AI5" s="5"/>
      <c r="AJ5" s="5"/>
      <c r="AK5" s="5"/>
      <c r="AL5" s="5"/>
      <c r="AM5" s="6"/>
      <c r="AN5" s="4">
        <v>2025</v>
      </c>
      <c r="AO5" s="5"/>
      <c r="AP5" s="5"/>
      <c r="AQ5" s="5"/>
      <c r="AR5" s="5"/>
      <c r="AS5" s="5"/>
      <c r="AT5" s="5"/>
      <c r="AU5" s="5"/>
      <c r="AV5" s="5"/>
      <c r="AW5" s="5"/>
      <c r="AX5" s="5"/>
      <c r="AY5" s="6"/>
      <c r="AZ5" s="4">
        <v>2026</v>
      </c>
      <c r="BA5" s="5"/>
      <c r="BB5" s="5"/>
      <c r="BC5" s="5"/>
      <c r="BD5" s="5"/>
      <c r="BE5" s="5"/>
      <c r="BF5" s="5"/>
      <c r="BG5" s="5"/>
      <c r="BH5" s="5"/>
      <c r="BI5" s="5"/>
      <c r="BJ5" s="5"/>
      <c r="BK5" s="6"/>
      <c r="BL5" s="7"/>
      <c r="BM5" s="7"/>
      <c r="BN5" s="7"/>
      <c r="BO5" s="7"/>
      <c r="BP5" s="7"/>
      <c r="BQ5" s="7"/>
      <c r="BR5" s="7"/>
      <c r="BS5" s="7"/>
      <c r="BT5" s="7"/>
      <c r="BU5" s="7"/>
      <c r="BV5" s="7"/>
    </row>
    <row r="6" spans="1:76" s="8" customFormat="1" ht="17.25" thickBot="1">
      <c r="A6" s="1"/>
      <c r="B6" s="239"/>
      <c r="C6" s="6" t="s">
        <v>3</v>
      </c>
      <c r="D6" s="5" t="s">
        <v>4</v>
      </c>
      <c r="E6" s="5" t="s">
        <v>5</v>
      </c>
      <c r="F6" s="5" t="s">
        <v>6</v>
      </c>
      <c r="G6" s="5" t="s">
        <v>7</v>
      </c>
      <c r="H6" s="5" t="s">
        <v>8</v>
      </c>
      <c r="I6" s="5" t="s">
        <v>9</v>
      </c>
      <c r="J6" s="5" t="s">
        <v>10</v>
      </c>
      <c r="K6" s="5" t="s">
        <v>11</v>
      </c>
      <c r="L6" s="5" t="s">
        <v>12</v>
      </c>
      <c r="M6" s="5" t="s">
        <v>13</v>
      </c>
      <c r="N6" s="5" t="s">
        <v>14</v>
      </c>
      <c r="O6" s="5" t="s">
        <v>15</v>
      </c>
      <c r="P6" s="4" t="s">
        <v>16</v>
      </c>
      <c r="Q6" s="5" t="s">
        <v>17</v>
      </c>
      <c r="R6" s="5" t="s">
        <v>18</v>
      </c>
      <c r="S6" s="5" t="s">
        <v>19</v>
      </c>
      <c r="T6" s="5" t="s">
        <v>20</v>
      </c>
      <c r="U6" s="5" t="s">
        <v>21</v>
      </c>
      <c r="V6" s="5" t="s">
        <v>22</v>
      </c>
      <c r="W6" s="5" t="s">
        <v>23</v>
      </c>
      <c r="X6" s="5" t="s">
        <v>24</v>
      </c>
      <c r="Y6" s="5" t="s">
        <v>25</v>
      </c>
      <c r="Z6" s="5" t="s">
        <v>26</v>
      </c>
      <c r="AA6" s="6" t="s">
        <v>27</v>
      </c>
      <c r="AB6" s="4" t="s">
        <v>28</v>
      </c>
      <c r="AC6" s="5" t="s">
        <v>29</v>
      </c>
      <c r="AD6" s="5" t="s">
        <v>30</v>
      </c>
      <c r="AE6" s="5" t="s">
        <v>31</v>
      </c>
      <c r="AF6" s="5" t="s">
        <v>32</v>
      </c>
      <c r="AG6" s="5" t="s">
        <v>33</v>
      </c>
      <c r="AH6" s="5" t="s">
        <v>34</v>
      </c>
      <c r="AI6" s="5" t="s">
        <v>35</v>
      </c>
      <c r="AJ6" s="5" t="s">
        <v>36</v>
      </c>
      <c r="AK6" s="5" t="s">
        <v>37</v>
      </c>
      <c r="AL6" s="5" t="s">
        <v>38</v>
      </c>
      <c r="AM6" s="6" t="s">
        <v>39</v>
      </c>
      <c r="AN6" s="4" t="s">
        <v>40</v>
      </c>
      <c r="AO6" s="5" t="s">
        <v>41</v>
      </c>
      <c r="AP6" s="5" t="s">
        <v>42</v>
      </c>
      <c r="AQ6" s="5" t="s">
        <v>43</v>
      </c>
      <c r="AR6" s="5" t="s">
        <v>44</v>
      </c>
      <c r="AS6" s="5" t="s">
        <v>45</v>
      </c>
      <c r="AT6" s="5" t="s">
        <v>46</v>
      </c>
      <c r="AU6" s="5" t="s">
        <v>47</v>
      </c>
      <c r="AV6" s="5" t="s">
        <v>48</v>
      </c>
      <c r="AW6" s="5" t="s">
        <v>49</v>
      </c>
      <c r="AX6" s="5" t="s">
        <v>50</v>
      </c>
      <c r="AY6" s="6" t="s">
        <v>51</v>
      </c>
      <c r="AZ6" s="5" t="s">
        <v>52</v>
      </c>
      <c r="BA6" s="5" t="s">
        <v>53</v>
      </c>
      <c r="BB6" s="5" t="s">
        <v>54</v>
      </c>
      <c r="BC6" s="5" t="s">
        <v>55</v>
      </c>
      <c r="BD6" s="5" t="s">
        <v>56</v>
      </c>
      <c r="BE6" s="5" t="s">
        <v>62</v>
      </c>
      <c r="BF6" s="5" t="s">
        <v>63</v>
      </c>
      <c r="BG6" s="5" t="s">
        <v>64</v>
      </c>
      <c r="BH6" s="5" t="s">
        <v>65</v>
      </c>
      <c r="BI6" s="5" t="s">
        <v>66</v>
      </c>
      <c r="BJ6" s="5" t="s">
        <v>67</v>
      </c>
      <c r="BK6" s="6" t="s">
        <v>68</v>
      </c>
      <c r="BL6" s="7"/>
      <c r="BM6" s="7"/>
      <c r="BN6" s="7"/>
      <c r="BO6" s="7"/>
      <c r="BP6" s="7"/>
      <c r="BQ6" s="7"/>
      <c r="BR6" s="7"/>
      <c r="BS6" s="7"/>
      <c r="BT6" s="7"/>
      <c r="BU6" s="7"/>
      <c r="BV6" s="7"/>
    </row>
    <row r="7" spans="1:76">
      <c r="B7" s="9" t="s">
        <v>69</v>
      </c>
      <c r="C7" s="1">
        <v>18.25</v>
      </c>
      <c r="D7" s="10">
        <v>18.77</v>
      </c>
      <c r="E7" s="1">
        <v>17.87</v>
      </c>
      <c r="F7" s="1">
        <v>12.68</v>
      </c>
      <c r="G7" s="1">
        <v>13.71</v>
      </c>
      <c r="H7" s="1">
        <v>12.99</v>
      </c>
      <c r="I7" s="1">
        <v>12.04</v>
      </c>
      <c r="J7" s="1">
        <v>14.18</v>
      </c>
      <c r="K7" s="1">
        <v>14.43</v>
      </c>
      <c r="L7" s="1">
        <v>12.72</v>
      </c>
      <c r="M7" s="1">
        <v>16.14</v>
      </c>
      <c r="N7" s="1">
        <v>15.98</v>
      </c>
      <c r="O7" s="11">
        <v>14.75</v>
      </c>
      <c r="P7" s="10">
        <v>13.64</v>
      </c>
      <c r="Q7" s="1">
        <v>14.78</v>
      </c>
      <c r="R7" s="1">
        <v>17.940000000000001</v>
      </c>
      <c r="S7" s="1">
        <v>16.75</v>
      </c>
      <c r="T7" s="1">
        <v>14.73</v>
      </c>
      <c r="U7" s="1">
        <v>12.81</v>
      </c>
      <c r="V7" s="1">
        <v>11.15</v>
      </c>
      <c r="W7" s="1">
        <v>12.43</v>
      </c>
      <c r="X7" s="1">
        <v>13.74</v>
      </c>
      <c r="Y7" s="1">
        <v>14.23</v>
      </c>
      <c r="Z7" s="1">
        <v>15.68</v>
      </c>
      <c r="AA7" s="11">
        <v>15.35</v>
      </c>
      <c r="AB7" s="10">
        <v>13.51</v>
      </c>
      <c r="AC7" s="1">
        <v>11.5</v>
      </c>
      <c r="AD7" s="1">
        <v>11.33</v>
      </c>
      <c r="AE7" s="1">
        <v>10.64</v>
      </c>
      <c r="AF7" s="1">
        <v>10.62</v>
      </c>
      <c r="AG7" s="1">
        <v>11.24</v>
      </c>
      <c r="AH7" s="1">
        <v>13.4</v>
      </c>
      <c r="AI7" s="1">
        <v>14.52</v>
      </c>
      <c r="AJ7" s="1">
        <v>17.43</v>
      </c>
      <c r="AK7" s="1">
        <v>16.920000000000002</v>
      </c>
      <c r="AL7" s="1">
        <v>14.35</v>
      </c>
      <c r="AM7" s="11">
        <v>10.55</v>
      </c>
      <c r="AN7" s="10">
        <v>9.9499999999999993</v>
      </c>
      <c r="AO7" s="1">
        <v>11.41</v>
      </c>
      <c r="AP7" s="1">
        <v>11.22</v>
      </c>
      <c r="AQ7" s="1">
        <v>11.49</v>
      </c>
      <c r="AR7" s="1">
        <v>13.37</v>
      </c>
      <c r="AS7" s="1">
        <v>11.24</v>
      </c>
      <c r="AT7" s="1">
        <v>13.13</v>
      </c>
      <c r="AU7" s="1">
        <v>14.05</v>
      </c>
      <c r="AV7" s="1">
        <v>15.33</v>
      </c>
      <c r="AW7" s="1">
        <v>13.3</v>
      </c>
      <c r="AX7" s="1">
        <v>13.07</v>
      </c>
      <c r="AY7" s="11">
        <v>10.74</v>
      </c>
      <c r="AZ7" s="10">
        <v>11.71</v>
      </c>
      <c r="BA7" s="1">
        <v>14.64</v>
      </c>
      <c r="BK7" s="11"/>
      <c r="BL7" s="7"/>
      <c r="BM7" s="7"/>
      <c r="BN7" s="7"/>
      <c r="BO7" s="7"/>
      <c r="BP7" s="7"/>
      <c r="BQ7" s="7"/>
      <c r="BR7" s="7"/>
      <c r="BS7" s="7"/>
      <c r="BT7" s="7"/>
      <c r="BU7" s="7"/>
      <c r="BV7" s="7"/>
    </row>
    <row r="8" spans="1:76" ht="17" customHeight="1">
      <c r="B8" s="12" t="s">
        <v>70</v>
      </c>
      <c r="C8" s="13">
        <v>42.43</v>
      </c>
      <c r="D8" s="14">
        <v>43.28</v>
      </c>
      <c r="E8" s="13">
        <v>42.48</v>
      </c>
      <c r="F8" s="13">
        <v>33.46</v>
      </c>
      <c r="G8" s="13">
        <v>35.31</v>
      </c>
      <c r="H8" s="13">
        <v>34</v>
      </c>
      <c r="I8" s="13">
        <v>28.57</v>
      </c>
      <c r="J8" s="13">
        <v>33.67</v>
      </c>
      <c r="K8" s="13">
        <v>36.97</v>
      </c>
      <c r="L8" s="13">
        <v>31.19</v>
      </c>
      <c r="M8" s="13">
        <v>33.14</v>
      </c>
      <c r="N8" s="13">
        <v>31.27</v>
      </c>
      <c r="O8" s="15">
        <v>30.3</v>
      </c>
      <c r="P8" s="14">
        <v>28.36</v>
      </c>
      <c r="Q8" s="13">
        <v>27.96</v>
      </c>
      <c r="R8" s="13">
        <v>33.9</v>
      </c>
      <c r="S8" s="13">
        <v>32.15</v>
      </c>
      <c r="T8" s="13">
        <v>29.74</v>
      </c>
      <c r="U8" s="13">
        <v>25.48</v>
      </c>
      <c r="V8" s="13">
        <v>21.04</v>
      </c>
      <c r="W8" s="13">
        <v>24.2</v>
      </c>
      <c r="X8" s="13">
        <v>27.34</v>
      </c>
      <c r="Y8" s="13">
        <v>28.47</v>
      </c>
      <c r="Z8" s="13">
        <v>32.64</v>
      </c>
      <c r="AA8" s="15">
        <v>27.8</v>
      </c>
      <c r="AB8" s="14">
        <v>24.83</v>
      </c>
      <c r="AC8" s="13">
        <v>25.7</v>
      </c>
      <c r="AD8" s="13">
        <v>27.39</v>
      </c>
      <c r="AE8" s="13">
        <v>25.95</v>
      </c>
      <c r="AF8" s="13">
        <v>27.86</v>
      </c>
      <c r="AG8" s="13">
        <v>28.55</v>
      </c>
      <c r="AH8" s="13">
        <v>29.64</v>
      </c>
      <c r="AI8" s="13">
        <v>31.37</v>
      </c>
      <c r="AJ8" s="13">
        <v>32.590000000000003</v>
      </c>
      <c r="AK8" s="13">
        <v>29.92</v>
      </c>
      <c r="AL8" s="13">
        <v>30.27</v>
      </c>
      <c r="AM8" s="15">
        <v>32.72</v>
      </c>
      <c r="AN8" s="14">
        <v>27.41</v>
      </c>
      <c r="AO8" s="13">
        <v>32.72</v>
      </c>
      <c r="AP8" s="13">
        <v>31.8</v>
      </c>
      <c r="AQ8" s="13">
        <v>30.49</v>
      </c>
      <c r="AR8" s="13">
        <v>32.43</v>
      </c>
      <c r="AS8" s="13">
        <v>31.46</v>
      </c>
      <c r="AT8" s="13">
        <v>30.04</v>
      </c>
      <c r="AU8" s="13">
        <v>34.51</v>
      </c>
      <c r="AV8" s="13">
        <v>40.97</v>
      </c>
      <c r="AW8" s="13">
        <v>47.32</v>
      </c>
      <c r="AX8" s="13">
        <v>49.05</v>
      </c>
      <c r="AY8" s="15">
        <v>37.409999999999997</v>
      </c>
      <c r="AZ8" s="14">
        <v>37.92</v>
      </c>
      <c r="BA8" s="13">
        <v>42.95</v>
      </c>
      <c r="BB8" s="13"/>
      <c r="BC8" s="13"/>
      <c r="BD8" s="13"/>
      <c r="BE8" s="13"/>
      <c r="BF8" s="13"/>
      <c r="BG8" s="13"/>
      <c r="BH8" s="13"/>
      <c r="BI8" s="13"/>
      <c r="BJ8" s="13"/>
      <c r="BK8" s="15"/>
      <c r="BL8" s="7"/>
      <c r="BM8" s="7"/>
      <c r="BN8" s="7"/>
      <c r="BO8" s="7"/>
      <c r="BP8" s="7"/>
      <c r="BQ8" s="7"/>
      <c r="BR8" s="7"/>
      <c r="BS8" s="7"/>
      <c r="BT8" s="7"/>
      <c r="BU8" s="7"/>
      <c r="BV8" s="7"/>
    </row>
    <row r="9" spans="1:76">
      <c r="B9" s="12" t="s">
        <v>71</v>
      </c>
      <c r="C9" s="16">
        <v>11.33</v>
      </c>
      <c r="D9" s="17">
        <v>10.61</v>
      </c>
      <c r="E9" s="16">
        <v>10.75</v>
      </c>
      <c r="F9" s="16">
        <v>9.3699999999999992</v>
      </c>
      <c r="G9" s="16">
        <v>14.48</v>
      </c>
      <c r="H9" s="16">
        <v>12.9</v>
      </c>
      <c r="I9" s="16">
        <v>9.6999999999999993</v>
      </c>
      <c r="J9" s="16">
        <v>13.11</v>
      </c>
      <c r="K9" s="16">
        <v>13.04</v>
      </c>
      <c r="L9" s="16">
        <v>10.27</v>
      </c>
      <c r="M9" s="16">
        <v>12.58</v>
      </c>
      <c r="N9" s="16">
        <v>11.76</v>
      </c>
      <c r="O9" s="18">
        <v>9.84</v>
      </c>
      <c r="P9" s="17">
        <v>9.49</v>
      </c>
      <c r="Q9" s="16">
        <v>8.23</v>
      </c>
      <c r="R9" s="16">
        <v>9.67</v>
      </c>
      <c r="S9" s="16">
        <v>9.3000000000000007</v>
      </c>
      <c r="T9" s="16">
        <v>6.28</v>
      </c>
      <c r="U9" s="16">
        <v>4.84</v>
      </c>
      <c r="V9" s="16">
        <v>3.39</v>
      </c>
      <c r="W9" s="16">
        <v>3.91</v>
      </c>
      <c r="X9" s="16">
        <v>5.46</v>
      </c>
      <c r="Y9" s="16">
        <v>4.87</v>
      </c>
      <c r="Z9" s="16">
        <v>6.94</v>
      </c>
      <c r="AA9" s="18">
        <v>8.11</v>
      </c>
      <c r="AB9" s="17">
        <v>6.04</v>
      </c>
      <c r="AC9" s="16">
        <v>5.47</v>
      </c>
      <c r="AD9" s="16">
        <v>4.93</v>
      </c>
      <c r="AE9" s="16">
        <v>3.9409999999999998</v>
      </c>
      <c r="AF9" s="16">
        <v>3.63</v>
      </c>
      <c r="AG9" s="16">
        <v>5.35</v>
      </c>
      <c r="AH9" s="16">
        <v>6.08</v>
      </c>
      <c r="AI9" s="16">
        <v>5.83</v>
      </c>
      <c r="AJ9" s="16">
        <v>7.11</v>
      </c>
      <c r="AK9" s="16">
        <v>8.43</v>
      </c>
      <c r="AL9" s="16">
        <v>7.2</v>
      </c>
      <c r="AM9" s="18">
        <v>4.34</v>
      </c>
      <c r="AN9" s="17">
        <v>2.98</v>
      </c>
      <c r="AO9" s="16">
        <v>4.0199999999999996</v>
      </c>
      <c r="AP9" s="16">
        <v>3.6</v>
      </c>
      <c r="AQ9" s="16">
        <v>4.38</v>
      </c>
      <c r="AR9" s="16">
        <v>4.9000000000000004</v>
      </c>
      <c r="AS9" s="16">
        <v>4.415</v>
      </c>
      <c r="AT9" s="16">
        <v>3.86</v>
      </c>
      <c r="AU9" s="16">
        <v>4.5599999999999996</v>
      </c>
      <c r="AV9" s="16">
        <v>4.71</v>
      </c>
      <c r="AW9" s="16">
        <v>4.6399999999999997</v>
      </c>
      <c r="AX9" s="16">
        <v>4.4400000000000004</v>
      </c>
      <c r="AY9" s="18">
        <v>3.53</v>
      </c>
      <c r="AZ9" s="17">
        <v>3.63</v>
      </c>
      <c r="BA9" s="16">
        <v>6.05</v>
      </c>
      <c r="BB9" s="16"/>
      <c r="BC9" s="16"/>
      <c r="BD9" s="16"/>
      <c r="BE9" s="16"/>
      <c r="BF9" s="16"/>
      <c r="BG9" s="16"/>
      <c r="BH9" s="16"/>
      <c r="BI9" s="16"/>
      <c r="BJ9" s="16"/>
      <c r="BK9" s="18"/>
      <c r="BL9" s="7"/>
      <c r="BM9" s="7"/>
      <c r="BN9" s="7"/>
      <c r="BO9" s="7"/>
      <c r="BP9" s="7"/>
      <c r="BQ9" s="7"/>
      <c r="BR9" s="7"/>
      <c r="BS9" s="7"/>
      <c r="BT9" s="7"/>
      <c r="BU9" s="7"/>
      <c r="BV9" s="7"/>
      <c r="BW9" s="16"/>
      <c r="BX9" s="16"/>
    </row>
    <row r="10" spans="1:76">
      <c r="B10" s="12" t="s">
        <v>72</v>
      </c>
      <c r="C10" s="16">
        <v>156.96</v>
      </c>
      <c r="D10" s="17">
        <v>150</v>
      </c>
      <c r="E10" s="16">
        <v>144.44999999999999</v>
      </c>
      <c r="F10" s="16">
        <v>109.31</v>
      </c>
      <c r="G10" s="16">
        <v>111.45</v>
      </c>
      <c r="H10" s="16">
        <v>93.27</v>
      </c>
      <c r="I10" s="16">
        <v>70.540000000000006</v>
      </c>
      <c r="J10" s="16">
        <v>72.540000000000006</v>
      </c>
      <c r="K10" s="16">
        <v>79.849999999999994</v>
      </c>
      <c r="L10" s="16">
        <v>65.709999999999994</v>
      </c>
      <c r="M10" s="16">
        <v>83.15</v>
      </c>
      <c r="N10" s="16">
        <v>99.12</v>
      </c>
      <c r="O10" s="18">
        <v>88.9</v>
      </c>
      <c r="P10" s="17">
        <v>100.43</v>
      </c>
      <c r="Q10" s="16">
        <v>94.23</v>
      </c>
      <c r="R10" s="16">
        <v>122.05</v>
      </c>
      <c r="S10" s="16">
        <v>119.56</v>
      </c>
      <c r="T10" s="16">
        <v>85.87</v>
      </c>
      <c r="U10" s="16">
        <v>74.72</v>
      </c>
      <c r="V10" s="16">
        <v>64.760000000000005</v>
      </c>
      <c r="W10" s="16">
        <v>66.58</v>
      </c>
      <c r="X10" s="16">
        <v>81.12</v>
      </c>
      <c r="Y10" s="16">
        <v>76.989999999999995</v>
      </c>
      <c r="Z10" s="16">
        <v>71.47</v>
      </c>
      <c r="AA10" s="18">
        <v>74.430000000000007</v>
      </c>
      <c r="AB10" s="17">
        <v>53.99</v>
      </c>
      <c r="AC10" s="16">
        <v>52.64</v>
      </c>
      <c r="AD10" s="16">
        <v>50.23</v>
      </c>
      <c r="AE10" s="16">
        <v>56.07</v>
      </c>
      <c r="AF10" s="16">
        <v>42.08</v>
      </c>
      <c r="AG10" s="16">
        <v>55.06</v>
      </c>
      <c r="AH10" s="16">
        <v>65.010000000000005</v>
      </c>
      <c r="AI10" s="16">
        <v>81.84</v>
      </c>
      <c r="AJ10" s="16">
        <v>94.12</v>
      </c>
      <c r="AK10" s="16">
        <v>102.43</v>
      </c>
      <c r="AL10" s="16">
        <v>73.5</v>
      </c>
      <c r="AM10" s="18">
        <v>51.65</v>
      </c>
      <c r="AN10" s="17">
        <v>46.93</v>
      </c>
      <c r="AO10" s="16">
        <v>55.58</v>
      </c>
      <c r="AP10" s="16">
        <v>54.95</v>
      </c>
      <c r="AQ10" s="16">
        <v>51.64</v>
      </c>
      <c r="AR10" s="16">
        <v>62.66</v>
      </c>
      <c r="AS10" s="16">
        <v>60.77</v>
      </c>
      <c r="AT10" s="16">
        <v>62.18</v>
      </c>
      <c r="AU10" s="16">
        <v>76</v>
      </c>
      <c r="AV10" s="16">
        <v>85.27</v>
      </c>
      <c r="AW10" s="16">
        <v>88.63</v>
      </c>
      <c r="AX10" s="16">
        <v>102.15</v>
      </c>
      <c r="AY10" s="18">
        <v>81.040000000000006</v>
      </c>
      <c r="AZ10" s="17">
        <v>75.64</v>
      </c>
      <c r="BA10" s="16">
        <v>91.61</v>
      </c>
      <c r="BB10" s="16"/>
      <c r="BC10" s="16"/>
      <c r="BD10" s="16"/>
      <c r="BE10" s="16"/>
      <c r="BF10" s="16"/>
      <c r="BG10" s="16"/>
      <c r="BH10" s="16"/>
      <c r="BI10" s="16"/>
      <c r="BJ10" s="16"/>
      <c r="BK10" s="18"/>
      <c r="BL10" s="7"/>
      <c r="BM10" s="7"/>
      <c r="BN10" s="7"/>
      <c r="BO10" s="7"/>
      <c r="BP10" s="7"/>
      <c r="BQ10" s="7"/>
      <c r="BR10" s="7"/>
      <c r="BS10" s="7"/>
      <c r="BT10" s="7"/>
      <c r="BU10" s="7"/>
      <c r="BV10" s="7"/>
      <c r="BW10" s="16"/>
      <c r="BX10" s="16"/>
    </row>
    <row r="11" spans="1:76">
      <c r="B11" s="12" t="s">
        <v>75</v>
      </c>
      <c r="C11" s="16">
        <v>14.95</v>
      </c>
      <c r="D11" s="17">
        <v>10.01</v>
      </c>
      <c r="E11" s="16">
        <v>10.74</v>
      </c>
      <c r="F11" s="16">
        <v>8.3699999999999992</v>
      </c>
      <c r="G11" s="16">
        <v>8.42</v>
      </c>
      <c r="H11" s="16">
        <v>7.79</v>
      </c>
      <c r="I11" s="16">
        <v>6.63</v>
      </c>
      <c r="J11" s="16">
        <v>8.0399999999999991</v>
      </c>
      <c r="K11" s="16">
        <v>7.96</v>
      </c>
      <c r="L11" s="16">
        <v>6.48</v>
      </c>
      <c r="M11" s="16">
        <v>8</v>
      </c>
      <c r="N11" s="16">
        <v>8.3000000000000007</v>
      </c>
      <c r="O11" s="18">
        <v>7.28</v>
      </c>
      <c r="P11" s="17">
        <v>7.14</v>
      </c>
      <c r="Q11" s="16">
        <v>6.83</v>
      </c>
      <c r="R11" s="16">
        <v>8.86</v>
      </c>
      <c r="S11" s="16">
        <v>7.77</v>
      </c>
      <c r="T11" s="16">
        <v>5.92</v>
      </c>
      <c r="U11" s="16">
        <v>4.5999999999999996</v>
      </c>
      <c r="V11" s="16">
        <v>3.76</v>
      </c>
      <c r="W11" s="16">
        <v>4.42</v>
      </c>
      <c r="X11" s="16">
        <v>5.55</v>
      </c>
      <c r="Y11" s="16">
        <v>5.31</v>
      </c>
      <c r="Z11" s="16">
        <v>6.48</v>
      </c>
      <c r="AA11" s="18">
        <v>7.42</v>
      </c>
      <c r="AB11" s="17">
        <v>5.68</v>
      </c>
      <c r="AC11" s="16">
        <v>5.59</v>
      </c>
      <c r="AD11" s="16">
        <v>6.09</v>
      </c>
      <c r="AE11" s="16">
        <v>6.41</v>
      </c>
      <c r="AF11" s="16">
        <v>5.08</v>
      </c>
      <c r="AG11" s="16">
        <v>6.56</v>
      </c>
      <c r="AH11" s="16">
        <v>5.7</v>
      </c>
      <c r="AI11" s="16">
        <v>5.97</v>
      </c>
      <c r="AJ11" s="16">
        <v>7.86</v>
      </c>
      <c r="AK11" s="16">
        <v>6.58</v>
      </c>
      <c r="AL11" s="16">
        <v>6.52</v>
      </c>
      <c r="AM11" s="18">
        <v>4.82</v>
      </c>
      <c r="AN11" s="17">
        <v>4.3600000000000003</v>
      </c>
      <c r="AO11" s="16">
        <v>5.05</v>
      </c>
      <c r="AP11" s="16">
        <v>4.2300000000000004</v>
      </c>
      <c r="AQ11" s="16">
        <v>4.4400000000000004</v>
      </c>
      <c r="AR11" s="16">
        <v>5.35</v>
      </c>
      <c r="AS11" s="16">
        <v>4.92</v>
      </c>
      <c r="AT11" s="16">
        <v>4.2</v>
      </c>
      <c r="AU11" s="16">
        <v>4.57</v>
      </c>
      <c r="AV11" s="16">
        <v>4.55</v>
      </c>
      <c r="AW11" s="16">
        <v>4.87</v>
      </c>
      <c r="AX11" s="16">
        <v>5.54</v>
      </c>
      <c r="AY11" s="18">
        <v>4.42</v>
      </c>
      <c r="AZ11" s="17">
        <v>4.66</v>
      </c>
      <c r="BA11" s="16">
        <v>5.46</v>
      </c>
      <c r="BB11" s="16"/>
      <c r="BC11" s="16"/>
      <c r="BD11" s="16"/>
      <c r="BE11" s="16"/>
      <c r="BF11" s="16"/>
      <c r="BG11" s="16"/>
      <c r="BH11" s="16"/>
      <c r="BI11" s="16"/>
      <c r="BJ11" s="16"/>
      <c r="BK11" s="18"/>
      <c r="BQ11" s="16"/>
      <c r="BR11" s="16"/>
      <c r="BS11" s="16"/>
      <c r="BT11" s="16"/>
      <c r="BU11" s="16"/>
      <c r="BV11" s="16"/>
      <c r="BW11" s="16"/>
      <c r="BX11" s="16"/>
    </row>
    <row r="12" spans="1:76">
      <c r="B12" s="12" t="s">
        <v>76</v>
      </c>
      <c r="C12" s="18">
        <v>58.01</v>
      </c>
      <c r="D12" s="17">
        <v>54.39</v>
      </c>
      <c r="E12" s="16">
        <v>48.26</v>
      </c>
      <c r="F12" s="16">
        <v>40.049999999999997</v>
      </c>
      <c r="G12" s="16">
        <v>44.33</v>
      </c>
      <c r="H12" s="16">
        <v>43.56</v>
      </c>
      <c r="I12" s="16">
        <v>39.15</v>
      </c>
      <c r="J12" s="16">
        <v>44.46</v>
      </c>
      <c r="K12" s="16">
        <v>47.44</v>
      </c>
      <c r="L12" s="16">
        <v>42.94</v>
      </c>
      <c r="M12" s="16">
        <v>51.34</v>
      </c>
      <c r="N12" s="16">
        <v>47.83</v>
      </c>
      <c r="O12" s="18">
        <v>41.96</v>
      </c>
      <c r="P12" s="17">
        <v>43.46</v>
      </c>
      <c r="Q12" s="16">
        <v>44.93</v>
      </c>
      <c r="R12" s="16">
        <v>53.18</v>
      </c>
      <c r="S12" s="16">
        <v>48.63</v>
      </c>
      <c r="T12" s="16">
        <v>41.97</v>
      </c>
      <c r="U12" s="16">
        <v>37.08</v>
      </c>
      <c r="V12" s="16">
        <v>31.63</v>
      </c>
      <c r="W12" s="16">
        <v>37.81</v>
      </c>
      <c r="X12" s="16">
        <v>39.07</v>
      </c>
      <c r="Y12" s="16">
        <v>35.83</v>
      </c>
      <c r="Z12" s="16">
        <v>37.39</v>
      </c>
      <c r="AA12" s="18">
        <v>42.99</v>
      </c>
      <c r="AB12" s="17">
        <v>43.02</v>
      </c>
      <c r="AC12" s="16">
        <v>42.02</v>
      </c>
      <c r="AD12" s="16">
        <v>40.4</v>
      </c>
      <c r="AE12" s="16">
        <v>37.53</v>
      </c>
      <c r="AF12" s="16">
        <v>36.11</v>
      </c>
      <c r="AG12" s="16">
        <v>45.21</v>
      </c>
      <c r="AH12" s="16">
        <v>47.91</v>
      </c>
      <c r="AI12" s="16">
        <v>52.6</v>
      </c>
      <c r="AJ12" s="16">
        <v>64.75</v>
      </c>
      <c r="AK12" s="16">
        <v>73.25</v>
      </c>
      <c r="AL12" s="16">
        <v>72.28</v>
      </c>
      <c r="AM12" s="18">
        <v>49.22</v>
      </c>
      <c r="AN12" s="17">
        <v>44.27</v>
      </c>
      <c r="AO12" s="16">
        <v>50.93</v>
      </c>
      <c r="AP12" s="16">
        <v>49.48</v>
      </c>
      <c r="AQ12" s="16">
        <v>52.96</v>
      </c>
      <c r="AR12" s="16">
        <v>62.78</v>
      </c>
      <c r="AS12" s="16">
        <v>49.78</v>
      </c>
      <c r="AT12" s="16">
        <v>41.73</v>
      </c>
      <c r="AU12" s="16">
        <v>42.86</v>
      </c>
      <c r="AV12" s="16">
        <v>50.3</v>
      </c>
      <c r="AW12" s="16">
        <v>50.83</v>
      </c>
      <c r="AX12" s="16">
        <v>51.6</v>
      </c>
      <c r="AY12" s="18">
        <v>36.78</v>
      </c>
      <c r="AZ12" s="17">
        <v>39.11</v>
      </c>
      <c r="BA12" s="16">
        <v>46.02</v>
      </c>
      <c r="BB12" s="16"/>
      <c r="BC12" s="16"/>
      <c r="BD12" s="16"/>
      <c r="BE12" s="16"/>
      <c r="BF12" s="16"/>
      <c r="BG12" s="16"/>
      <c r="BH12" s="16"/>
      <c r="BI12" s="16"/>
      <c r="BJ12" s="16"/>
      <c r="BK12" s="18"/>
      <c r="BQ12" s="16"/>
      <c r="BR12" s="16"/>
      <c r="BS12" s="16"/>
      <c r="BT12" s="16"/>
      <c r="BU12" s="16"/>
      <c r="BV12" s="16"/>
      <c r="BW12" s="16"/>
      <c r="BX12" s="16"/>
    </row>
    <row r="13" spans="1:76">
      <c r="B13" s="12" t="s">
        <v>74</v>
      </c>
      <c r="C13" s="54">
        <v>46.36</v>
      </c>
      <c r="D13" s="17">
        <v>50.5</v>
      </c>
      <c r="E13" s="16">
        <v>47.63</v>
      </c>
      <c r="F13" s="16">
        <v>35.42</v>
      </c>
      <c r="G13" s="16">
        <v>36.75</v>
      </c>
      <c r="H13" s="16">
        <v>35.01</v>
      </c>
      <c r="I13" s="16">
        <v>32.53</v>
      </c>
      <c r="J13" s="16">
        <v>43.08</v>
      </c>
      <c r="K13" s="16">
        <v>44.17</v>
      </c>
      <c r="L13" s="16">
        <v>37.700000000000003</v>
      </c>
      <c r="M13" s="16">
        <v>48.96</v>
      </c>
      <c r="N13" s="16">
        <v>51.96</v>
      </c>
      <c r="O13" s="18">
        <v>44.25</v>
      </c>
      <c r="P13" s="17">
        <v>43.8</v>
      </c>
      <c r="Q13" s="16">
        <v>47.47</v>
      </c>
      <c r="R13" s="16">
        <v>54.87</v>
      </c>
      <c r="S13" s="16">
        <v>54.31</v>
      </c>
      <c r="T13" s="16">
        <v>49.81</v>
      </c>
      <c r="U13" s="16">
        <v>42.3</v>
      </c>
      <c r="V13" s="16">
        <v>35.01</v>
      </c>
      <c r="W13" s="16">
        <v>39.4</v>
      </c>
      <c r="X13" s="16">
        <v>41.26</v>
      </c>
      <c r="Y13" s="16">
        <v>41.38</v>
      </c>
      <c r="Z13" s="16">
        <v>45.49</v>
      </c>
      <c r="AA13" s="18">
        <v>47.88</v>
      </c>
      <c r="AB13" s="17">
        <v>51.46</v>
      </c>
      <c r="AC13" s="16">
        <v>52.99</v>
      </c>
      <c r="AD13" s="16">
        <v>48.66</v>
      </c>
      <c r="AE13" s="16">
        <v>45.42</v>
      </c>
      <c r="AF13" s="16">
        <v>44.04</v>
      </c>
      <c r="AG13" s="16">
        <v>57.06</v>
      </c>
      <c r="AH13" s="16">
        <v>78.260000000000005</v>
      </c>
      <c r="AI13" s="16">
        <v>96.83</v>
      </c>
      <c r="AJ13" s="16">
        <v>97.1</v>
      </c>
      <c r="AK13" s="16">
        <v>105.84</v>
      </c>
      <c r="AL13" s="16">
        <v>93.81</v>
      </c>
      <c r="AM13" s="18">
        <v>69.05</v>
      </c>
      <c r="AN13" s="17">
        <v>68.819999999999993</v>
      </c>
      <c r="AO13" s="16">
        <v>79.44</v>
      </c>
      <c r="AP13" s="16">
        <v>79.63</v>
      </c>
      <c r="AQ13" s="16">
        <v>88.31</v>
      </c>
      <c r="AR13" s="16">
        <v>105</v>
      </c>
      <c r="AS13" s="16">
        <v>96.5</v>
      </c>
      <c r="AT13" s="16">
        <v>94.04</v>
      </c>
      <c r="AU13" s="16">
        <v>101.96</v>
      </c>
      <c r="AV13" s="16">
        <v>111.82</v>
      </c>
      <c r="AW13" s="16">
        <v>102.32</v>
      </c>
      <c r="AX13" s="16">
        <v>106.3</v>
      </c>
      <c r="AY13" s="18">
        <v>92.07</v>
      </c>
      <c r="AZ13" s="17">
        <v>90</v>
      </c>
      <c r="BA13" s="16">
        <v>112.62</v>
      </c>
      <c r="BB13" s="16"/>
      <c r="BC13" s="16"/>
      <c r="BD13" s="16"/>
      <c r="BE13" s="16"/>
      <c r="BF13" s="16"/>
      <c r="BG13" s="16"/>
      <c r="BH13" s="16"/>
      <c r="BI13" s="16"/>
      <c r="BJ13" s="16"/>
      <c r="BK13" s="18"/>
      <c r="BQ13" s="16"/>
      <c r="BR13" s="16"/>
      <c r="BS13" s="16"/>
      <c r="BT13" s="16"/>
      <c r="BU13" s="16"/>
      <c r="BV13" s="16"/>
      <c r="BW13" s="16"/>
      <c r="BX13" s="16"/>
    </row>
    <row r="14" spans="1:76">
      <c r="B14" s="19" t="s">
        <v>73</v>
      </c>
      <c r="C14" s="53">
        <v>38.29</v>
      </c>
      <c r="D14" s="21">
        <v>41.64</v>
      </c>
      <c r="E14" s="20">
        <v>40.340000000000003</v>
      </c>
      <c r="F14" s="20">
        <v>28.03</v>
      </c>
      <c r="G14" s="20">
        <v>30.77</v>
      </c>
      <c r="H14" s="20">
        <v>30.06</v>
      </c>
      <c r="I14" s="20">
        <v>27.15</v>
      </c>
      <c r="J14" s="20">
        <v>32.83</v>
      </c>
      <c r="K14" s="20">
        <v>34.229999999999997</v>
      </c>
      <c r="L14" s="20">
        <v>31.8</v>
      </c>
      <c r="M14" s="20">
        <v>37.83</v>
      </c>
      <c r="N14" s="20">
        <v>37.1</v>
      </c>
      <c r="O14" s="22">
        <v>33.79</v>
      </c>
      <c r="P14" s="21">
        <v>33.200000000000003</v>
      </c>
      <c r="Q14" s="20">
        <v>35.15</v>
      </c>
      <c r="R14" s="20">
        <v>46</v>
      </c>
      <c r="S14" s="20">
        <v>44.76</v>
      </c>
      <c r="T14" s="20">
        <v>41.58</v>
      </c>
      <c r="U14" s="20">
        <v>35.880000000000003</v>
      </c>
      <c r="V14" s="20">
        <v>30.3</v>
      </c>
      <c r="W14" s="20">
        <v>35.909999999999997</v>
      </c>
      <c r="X14" s="20">
        <v>39.119999999999997</v>
      </c>
      <c r="Y14" s="20">
        <v>38.06</v>
      </c>
      <c r="Z14" s="20">
        <v>41.1</v>
      </c>
      <c r="AA14" s="22">
        <v>46.66</v>
      </c>
      <c r="AB14" s="21">
        <v>48.8</v>
      </c>
      <c r="AC14" s="20">
        <v>49.73</v>
      </c>
      <c r="AD14" s="20">
        <v>46.33</v>
      </c>
      <c r="AE14" s="20">
        <v>42.01</v>
      </c>
      <c r="AF14" s="20">
        <v>41.64</v>
      </c>
      <c r="AG14" s="20">
        <v>49.77</v>
      </c>
      <c r="AH14" s="20">
        <v>56.07</v>
      </c>
      <c r="AI14" s="20">
        <v>62.73</v>
      </c>
      <c r="AJ14" s="20">
        <v>59.46</v>
      </c>
      <c r="AK14" s="20">
        <v>66.12</v>
      </c>
      <c r="AL14" s="20">
        <v>59.09</v>
      </c>
      <c r="AM14" s="22">
        <v>42.96</v>
      </c>
      <c r="AN14" s="21">
        <v>41.02</v>
      </c>
      <c r="AO14" s="20">
        <v>47.68</v>
      </c>
      <c r="AP14" s="20">
        <v>48.6</v>
      </c>
      <c r="AQ14" s="20">
        <v>52.58</v>
      </c>
      <c r="AR14" s="20">
        <v>61.26</v>
      </c>
      <c r="AS14" s="20">
        <v>56.27</v>
      </c>
      <c r="AT14" s="20">
        <v>56.9</v>
      </c>
      <c r="AU14" s="20">
        <v>63.76</v>
      </c>
      <c r="AV14" s="20">
        <v>69.03</v>
      </c>
      <c r="AW14" s="20">
        <v>65.540000000000006</v>
      </c>
      <c r="AX14" s="20">
        <v>65.349999999999994</v>
      </c>
      <c r="AY14" s="22">
        <v>66.3</v>
      </c>
      <c r="AZ14" s="21">
        <v>67.81</v>
      </c>
      <c r="BA14" s="20">
        <v>81.58</v>
      </c>
      <c r="BB14" s="20"/>
      <c r="BC14" s="20"/>
      <c r="BD14" s="20"/>
      <c r="BE14" s="20"/>
      <c r="BF14" s="20"/>
      <c r="BG14" s="20"/>
      <c r="BH14" s="20"/>
      <c r="BI14" s="20"/>
      <c r="BJ14" s="20"/>
      <c r="BK14" s="22"/>
      <c r="BQ14" s="16"/>
      <c r="BR14" s="16"/>
      <c r="BS14" s="16"/>
      <c r="BT14" s="16"/>
      <c r="BU14" s="16"/>
      <c r="BV14" s="16"/>
      <c r="BW14" s="16"/>
      <c r="BX14" s="16"/>
    </row>
    <row r="15" spans="1:76">
      <c r="B15" s="130" t="s">
        <v>87</v>
      </c>
      <c r="C15" s="132">
        <v>109387.46</v>
      </c>
      <c r="D15" s="132">
        <v>111594.2</v>
      </c>
      <c r="E15" s="132">
        <v>106883.34</v>
      </c>
      <c r="F15" s="133">
        <v>81932.350000000006</v>
      </c>
      <c r="G15" s="133">
        <v>88504.09</v>
      </c>
      <c r="H15" s="133">
        <v>84815.51</v>
      </c>
      <c r="I15" s="133">
        <v>74142.080000000002</v>
      </c>
      <c r="J15" s="133">
        <v>89287.38</v>
      </c>
      <c r="K15" s="133">
        <v>93873.84</v>
      </c>
      <c r="L15" s="133">
        <v>82314.77</v>
      </c>
      <c r="M15" s="134">
        <v>96967.039999999994</v>
      </c>
      <c r="N15" s="133">
        <v>95142.66</v>
      </c>
      <c r="O15" s="133">
        <v>87199.48</v>
      </c>
      <c r="P15" s="133">
        <v>85063.5</v>
      </c>
      <c r="Q15" s="133">
        <v>87775.02</v>
      </c>
      <c r="R15" s="133">
        <v>107263.12</v>
      </c>
      <c r="S15" s="133">
        <v>103986.59</v>
      </c>
      <c r="T15" s="133">
        <v>93340.91</v>
      </c>
      <c r="U15" s="133">
        <v>80761.77</v>
      </c>
      <c r="V15" s="133">
        <v>68011.88</v>
      </c>
      <c r="W15" s="133">
        <v>78128.240000000005</v>
      </c>
      <c r="X15" s="133">
        <v>86639.02</v>
      </c>
      <c r="Y15" s="134">
        <v>84711.5</v>
      </c>
      <c r="Z15" s="133">
        <v>93519.84</v>
      </c>
      <c r="AA15" s="133">
        <v>95624.05</v>
      </c>
      <c r="AB15" s="133">
        <v>93247.95</v>
      </c>
      <c r="AC15" s="133">
        <v>93818.19</v>
      </c>
      <c r="AD15" s="133">
        <v>90932.56</v>
      </c>
      <c r="AE15" s="133">
        <v>85058.91</v>
      </c>
      <c r="AF15" s="133">
        <v>84491.839999999997</v>
      </c>
      <c r="AG15" s="133">
        <v>96576.52</v>
      </c>
      <c r="AH15" s="133">
        <v>110758.2</v>
      </c>
      <c r="AI15" s="133">
        <v>124394.12</v>
      </c>
      <c r="AJ15" s="133">
        <v>127342.24</v>
      </c>
      <c r="AK15" s="134">
        <v>134569.20000000001</v>
      </c>
      <c r="AL15" s="133">
        <v>122070.42</v>
      </c>
      <c r="AM15" s="133">
        <v>97088.27</v>
      </c>
      <c r="AN15" s="133">
        <v>88889.8</v>
      </c>
      <c r="AO15" s="133">
        <v>103497.86</v>
      </c>
      <c r="AP15" s="133">
        <v>102982.17</v>
      </c>
      <c r="AQ15" s="133">
        <v>107054.65</v>
      </c>
      <c r="AR15" s="133">
        <v>122879.15</v>
      </c>
      <c r="AS15" s="133">
        <v>113725.09</v>
      </c>
      <c r="AT15" s="133">
        <v>111005.67</v>
      </c>
      <c r="AU15" s="133">
        <v>121463.47</v>
      </c>
      <c r="AV15" s="132">
        <v>134256.34</v>
      </c>
      <c r="AW15" s="135">
        <v>133618.13</v>
      </c>
      <c r="AX15" s="132">
        <v>133265.16</v>
      </c>
      <c r="AY15" s="132">
        <v>117303.05</v>
      </c>
      <c r="AZ15" s="132">
        <v>118436.44</v>
      </c>
      <c r="BA15" s="135">
        <v>138214.07999999999</v>
      </c>
    </row>
    <row r="16" spans="1:76" ht="17.25" thickBot="1">
      <c r="B16" s="131" t="s">
        <v>88</v>
      </c>
      <c r="C16" s="136">
        <v>4530.41</v>
      </c>
      <c r="D16" s="136">
        <v>4131.93</v>
      </c>
      <c r="E16" s="136">
        <v>4132.1499999999996</v>
      </c>
      <c r="F16" s="136">
        <v>3785.38</v>
      </c>
      <c r="G16" s="136">
        <v>4130.29</v>
      </c>
      <c r="H16" s="137">
        <v>3955</v>
      </c>
      <c r="I16" s="137">
        <v>3585.62</v>
      </c>
      <c r="J16" s="137">
        <v>3871.98</v>
      </c>
      <c r="K16" s="137">
        <v>4080.11</v>
      </c>
      <c r="L16" s="137">
        <v>3839.5</v>
      </c>
      <c r="M16" s="137">
        <v>4076.6</v>
      </c>
      <c r="N16" s="137">
        <v>3970.15</v>
      </c>
      <c r="O16" s="137">
        <v>4109.3100000000004</v>
      </c>
      <c r="P16" s="137">
        <v>4169.4799999999996</v>
      </c>
      <c r="Q16" s="137">
        <v>4179.83</v>
      </c>
      <c r="R16" s="137">
        <v>4450.38</v>
      </c>
      <c r="S16" s="137">
        <v>4588.96</v>
      </c>
      <c r="T16" s="137">
        <v>4507.66</v>
      </c>
      <c r="U16" s="137">
        <v>4288.05</v>
      </c>
      <c r="V16" s="137">
        <v>4193.8</v>
      </c>
      <c r="W16" s="137">
        <v>4567.8</v>
      </c>
      <c r="X16" s="137">
        <v>4769.83</v>
      </c>
      <c r="Y16" s="137">
        <v>4845.6499999999996</v>
      </c>
      <c r="Z16" s="137">
        <v>5096.2700000000004</v>
      </c>
      <c r="AA16" s="137">
        <v>5254.35</v>
      </c>
      <c r="AB16" s="137">
        <v>5035.6899999999996</v>
      </c>
      <c r="AC16" s="137">
        <v>5277.51</v>
      </c>
      <c r="AD16" s="137">
        <v>5460.48</v>
      </c>
      <c r="AE16" s="137">
        <v>5522.3</v>
      </c>
      <c r="AF16" s="137">
        <v>5648.4</v>
      </c>
      <c r="AG16" s="137">
        <v>5762.48</v>
      </c>
      <c r="AH16" s="137">
        <v>5705.45</v>
      </c>
      <c r="AI16" s="137">
        <v>6032.38</v>
      </c>
      <c r="AJ16" s="137">
        <v>5881.63</v>
      </c>
      <c r="AK16" s="137">
        <v>6040.53</v>
      </c>
      <c r="AL16" s="137">
        <v>5954.5</v>
      </c>
      <c r="AM16" s="137">
        <v>5611.85</v>
      </c>
      <c r="AN16" s="137">
        <v>5569.06</v>
      </c>
      <c r="AO16" s="137">
        <v>5911.69</v>
      </c>
      <c r="AP16" s="137">
        <v>6204.95</v>
      </c>
      <c r="AQ16" s="137">
        <v>6339.39</v>
      </c>
      <c r="AR16" s="137">
        <v>6460.26</v>
      </c>
      <c r="AS16" s="137">
        <v>6688.46</v>
      </c>
      <c r="AT16" s="137">
        <v>6840.2</v>
      </c>
      <c r="AU16" s="137">
        <v>6849.09</v>
      </c>
      <c r="AV16" s="137">
        <v>6845.5</v>
      </c>
      <c r="AW16" s="137">
        <v>6939.03</v>
      </c>
      <c r="AX16" s="137">
        <v>6878.88</v>
      </c>
      <c r="AY16" s="137">
        <v>6528.52</v>
      </c>
      <c r="AZ16" s="137">
        <v>7209.01</v>
      </c>
      <c r="BA16" s="137">
        <v>7580.06</v>
      </c>
    </row>
    <row r="17" spans="2:77">
      <c r="B17" s="238" t="s">
        <v>57</v>
      </c>
      <c r="C17" s="23"/>
      <c r="D17" s="4">
        <v>2022</v>
      </c>
      <c r="E17" s="24"/>
      <c r="F17" s="24"/>
      <c r="G17" s="24"/>
      <c r="H17" s="24"/>
      <c r="I17" s="24"/>
      <c r="J17" s="24"/>
      <c r="K17" s="24"/>
      <c r="L17" s="24"/>
      <c r="M17" s="24"/>
      <c r="N17" s="24"/>
      <c r="O17" s="23"/>
      <c r="P17" s="4">
        <v>2023</v>
      </c>
      <c r="Q17" s="24"/>
      <c r="R17" s="24"/>
      <c r="S17" s="24"/>
      <c r="T17" s="24"/>
      <c r="U17" s="24"/>
      <c r="V17" s="24"/>
      <c r="W17" s="24"/>
      <c r="X17" s="24"/>
      <c r="Y17" s="24"/>
      <c r="Z17" s="24"/>
      <c r="AA17" s="23"/>
      <c r="AB17" s="4">
        <v>2024</v>
      </c>
      <c r="AC17" s="24"/>
      <c r="AD17" s="24"/>
      <c r="AE17" s="24"/>
      <c r="AF17" s="24"/>
      <c r="AG17" s="24"/>
      <c r="AH17" s="24"/>
      <c r="AI17" s="24"/>
      <c r="AJ17" s="24"/>
      <c r="AK17" s="24"/>
      <c r="AL17" s="24"/>
      <c r="AM17" s="23"/>
      <c r="AN17" s="4">
        <v>2025</v>
      </c>
      <c r="AO17" s="24"/>
      <c r="AP17" s="24"/>
      <c r="AQ17" s="24"/>
      <c r="AR17" s="24"/>
      <c r="AS17" s="24"/>
      <c r="AT17" s="24"/>
      <c r="AU17" s="24"/>
      <c r="AV17" s="24"/>
      <c r="AW17" s="24"/>
      <c r="AX17" s="24"/>
      <c r="AY17" s="23"/>
      <c r="AZ17" s="4">
        <v>2026</v>
      </c>
      <c r="BA17" s="5"/>
      <c r="BB17" s="5"/>
      <c r="BC17" s="5"/>
      <c r="BD17" s="5"/>
      <c r="BE17" s="5"/>
      <c r="BF17" s="5"/>
      <c r="BG17" s="5"/>
      <c r="BH17" s="5"/>
      <c r="BI17" s="5"/>
      <c r="BJ17" s="5"/>
      <c r="BK17" s="6"/>
      <c r="BQ17"/>
      <c r="BR17"/>
    </row>
    <row r="18" spans="2:77" ht="17.25" thickBot="1">
      <c r="B18" s="239"/>
      <c r="C18" s="6" t="s">
        <v>3</v>
      </c>
      <c r="D18" s="5" t="s">
        <v>4</v>
      </c>
      <c r="E18" s="5" t="s">
        <v>5</v>
      </c>
      <c r="F18" s="5" t="s">
        <v>6</v>
      </c>
      <c r="G18" s="5" t="s">
        <v>7</v>
      </c>
      <c r="H18" s="5" t="s">
        <v>8</v>
      </c>
      <c r="I18" s="5" t="s">
        <v>9</v>
      </c>
      <c r="J18" s="5" t="s">
        <v>10</v>
      </c>
      <c r="K18" s="5" t="s">
        <v>11</v>
      </c>
      <c r="L18" s="5" t="s">
        <v>12</v>
      </c>
      <c r="M18" s="5" t="s">
        <v>13</v>
      </c>
      <c r="N18" s="5" t="s">
        <v>14</v>
      </c>
      <c r="O18" s="5" t="s">
        <v>15</v>
      </c>
      <c r="P18" s="4" t="s">
        <v>16</v>
      </c>
      <c r="Q18" s="5" t="s">
        <v>17</v>
      </c>
      <c r="R18" s="5" t="s">
        <v>18</v>
      </c>
      <c r="S18" s="5" t="s">
        <v>19</v>
      </c>
      <c r="T18" s="5" t="s">
        <v>20</v>
      </c>
      <c r="U18" s="5" t="s">
        <v>21</v>
      </c>
      <c r="V18" s="5" t="s">
        <v>22</v>
      </c>
      <c r="W18" s="5" t="s">
        <v>23</v>
      </c>
      <c r="X18" s="5" t="s">
        <v>24</v>
      </c>
      <c r="Y18" s="5" t="s">
        <v>25</v>
      </c>
      <c r="Z18" s="5" t="s">
        <v>26</v>
      </c>
      <c r="AA18" s="6" t="s">
        <v>27</v>
      </c>
      <c r="AB18" s="4" t="s">
        <v>28</v>
      </c>
      <c r="AC18" s="5" t="s">
        <v>29</v>
      </c>
      <c r="AD18" s="5" t="s">
        <v>30</v>
      </c>
      <c r="AE18" s="5" t="s">
        <v>31</v>
      </c>
      <c r="AF18" s="5" t="s">
        <v>32</v>
      </c>
      <c r="AG18" s="5" t="s">
        <v>33</v>
      </c>
      <c r="AH18" s="5" t="s">
        <v>34</v>
      </c>
      <c r="AI18" s="5" t="s">
        <v>35</v>
      </c>
      <c r="AJ18" s="5" t="s">
        <v>36</v>
      </c>
      <c r="AK18" s="5" t="s">
        <v>37</v>
      </c>
      <c r="AL18" s="5" t="s">
        <v>38</v>
      </c>
      <c r="AM18" s="6" t="s">
        <v>39</v>
      </c>
      <c r="AN18" s="4" t="s">
        <v>40</v>
      </c>
      <c r="AO18" s="5" t="s">
        <v>41</v>
      </c>
      <c r="AP18" s="5" t="s">
        <v>42</v>
      </c>
      <c r="AQ18" s="5" t="s">
        <v>43</v>
      </c>
      <c r="AR18" s="5" t="s">
        <v>44</v>
      </c>
      <c r="AS18" s="5" t="s">
        <v>45</v>
      </c>
      <c r="AT18" s="5" t="s">
        <v>46</v>
      </c>
      <c r="AU18" s="5" t="s">
        <v>47</v>
      </c>
      <c r="AV18" s="5" t="s">
        <v>48</v>
      </c>
      <c r="AW18" s="5" t="s">
        <v>49</v>
      </c>
      <c r="AX18" s="5" t="s">
        <v>50</v>
      </c>
      <c r="AY18" s="6" t="s">
        <v>51</v>
      </c>
      <c r="AZ18" s="5" t="s">
        <v>52</v>
      </c>
      <c r="BA18" s="52" t="s">
        <v>53</v>
      </c>
      <c r="BB18" s="52" t="s">
        <v>54</v>
      </c>
      <c r="BC18" s="52" t="s">
        <v>55</v>
      </c>
      <c r="BD18" s="52" t="s">
        <v>56</v>
      </c>
      <c r="BE18" s="52" t="s">
        <v>62</v>
      </c>
      <c r="BF18" s="52" t="s">
        <v>63</v>
      </c>
      <c r="BG18" s="52" t="s">
        <v>64</v>
      </c>
      <c r="BH18" s="52" t="s">
        <v>65</v>
      </c>
      <c r="BI18" s="52" t="s">
        <v>66</v>
      </c>
      <c r="BJ18" s="52" t="s">
        <v>67</v>
      </c>
      <c r="BK18" s="96" t="s">
        <v>68</v>
      </c>
      <c r="BQ18" s="7"/>
      <c r="BR18" s="7"/>
      <c r="BS18" s="7"/>
      <c r="BT18" s="7"/>
      <c r="BU18" s="7"/>
      <c r="BV18" s="7"/>
      <c r="BW18" s="7"/>
      <c r="BX18" s="7"/>
      <c r="BY18" s="7"/>
    </row>
    <row r="19" spans="2:77">
      <c r="B19" s="9" t="s">
        <v>69</v>
      </c>
      <c r="C19" s="26">
        <v>0</v>
      </c>
      <c r="D19" s="27">
        <f t="shared" ref="D19:AY19" si="0">D7/C7</f>
        <v>1.0284931506849315</v>
      </c>
      <c r="E19" s="7">
        <f t="shared" si="0"/>
        <v>0.95205114544485892</v>
      </c>
      <c r="F19" s="7">
        <f t="shared" si="0"/>
        <v>0.70956911024062674</v>
      </c>
      <c r="G19" s="7">
        <f t="shared" si="0"/>
        <v>1.0812302839116721</v>
      </c>
      <c r="H19" s="7">
        <f t="shared" si="0"/>
        <v>0.94748358862144411</v>
      </c>
      <c r="I19" s="7">
        <f t="shared" si="0"/>
        <v>0.9268668206312547</v>
      </c>
      <c r="J19" s="7">
        <f t="shared" si="0"/>
        <v>1.1777408637873754</v>
      </c>
      <c r="K19" s="7">
        <f t="shared" si="0"/>
        <v>1.0176304654442878</v>
      </c>
      <c r="L19" s="7">
        <f t="shared" si="0"/>
        <v>0.88149688149688155</v>
      </c>
      <c r="M19" s="7">
        <f t="shared" si="0"/>
        <v>1.2688679245283019</v>
      </c>
      <c r="N19" s="7">
        <f t="shared" si="0"/>
        <v>0.99008674101610905</v>
      </c>
      <c r="O19" s="26">
        <f t="shared" si="0"/>
        <v>0.92302878598247806</v>
      </c>
      <c r="P19" s="27">
        <f t="shared" si="0"/>
        <v>0.92474576271186448</v>
      </c>
      <c r="Q19" s="7">
        <f t="shared" si="0"/>
        <v>1.0835777126099706</v>
      </c>
      <c r="R19" s="7">
        <f t="shared" si="0"/>
        <v>1.2138024357239514</v>
      </c>
      <c r="S19" s="7">
        <f t="shared" si="0"/>
        <v>0.93366778149386842</v>
      </c>
      <c r="T19" s="7">
        <f t="shared" si="0"/>
        <v>0.87940298507462689</v>
      </c>
      <c r="U19" s="7">
        <f t="shared" si="0"/>
        <v>0.86965376782077397</v>
      </c>
      <c r="V19" s="7">
        <f t="shared" si="0"/>
        <v>0.87041373926619825</v>
      </c>
      <c r="W19" s="7">
        <f t="shared" si="0"/>
        <v>1.1147982062780268</v>
      </c>
      <c r="X19" s="7">
        <f t="shared" si="0"/>
        <v>1.1053901850362027</v>
      </c>
      <c r="Y19" s="7">
        <f t="shared" si="0"/>
        <v>1.0356622998544396</v>
      </c>
      <c r="Z19" s="7">
        <f t="shared" si="0"/>
        <v>1.1018973998594519</v>
      </c>
      <c r="AA19" s="26">
        <f t="shared" si="0"/>
        <v>0.97895408163265307</v>
      </c>
      <c r="AB19" s="27">
        <f t="shared" si="0"/>
        <v>0.88013029315960911</v>
      </c>
      <c r="AC19" s="7">
        <f t="shared" si="0"/>
        <v>0.85122131754256103</v>
      </c>
      <c r="AD19" s="7">
        <f t="shared" si="0"/>
        <v>0.98521739130434782</v>
      </c>
      <c r="AE19" s="7">
        <f t="shared" si="0"/>
        <v>0.93909973521624013</v>
      </c>
      <c r="AF19" s="7">
        <f t="shared" si="0"/>
        <v>0.99812030075187952</v>
      </c>
      <c r="AG19" s="7">
        <f t="shared" si="0"/>
        <v>1.0583804143126179</v>
      </c>
      <c r="AH19" s="7">
        <f t="shared" si="0"/>
        <v>1.1921708185053381</v>
      </c>
      <c r="AI19" s="7">
        <f t="shared" si="0"/>
        <v>1.0835820895522388</v>
      </c>
      <c r="AJ19" s="7">
        <f t="shared" si="0"/>
        <v>1.2004132231404958</v>
      </c>
      <c r="AK19" s="7">
        <f t="shared" si="0"/>
        <v>0.97074010327022386</v>
      </c>
      <c r="AL19" s="7">
        <f t="shared" si="0"/>
        <v>0.84810874704491712</v>
      </c>
      <c r="AM19" s="26">
        <f t="shared" si="0"/>
        <v>0.73519163763066209</v>
      </c>
      <c r="AN19" s="27">
        <f t="shared" si="0"/>
        <v>0.94312796208530791</v>
      </c>
      <c r="AO19" s="7">
        <f t="shared" si="0"/>
        <v>1.1467336683417086</v>
      </c>
      <c r="AP19" s="7">
        <f t="shared" si="0"/>
        <v>0.98334794040315521</v>
      </c>
      <c r="AQ19" s="7">
        <f t="shared" si="0"/>
        <v>1.0240641711229945</v>
      </c>
      <c r="AR19" s="7">
        <f t="shared" si="0"/>
        <v>1.1636205395996517</v>
      </c>
      <c r="AS19" s="7">
        <f t="shared" si="0"/>
        <v>0.84068810770381452</v>
      </c>
      <c r="AT19" s="7">
        <f t="shared" si="0"/>
        <v>1.168149466192171</v>
      </c>
      <c r="AU19" s="7">
        <f t="shared" si="0"/>
        <v>1.0700685453160701</v>
      </c>
      <c r="AV19" s="7">
        <f t="shared" si="0"/>
        <v>1.0911032028469749</v>
      </c>
      <c r="AW19" s="7">
        <f t="shared" si="0"/>
        <v>0.86757990867579915</v>
      </c>
      <c r="AX19" s="7">
        <f t="shared" si="0"/>
        <v>0.9827067669172932</v>
      </c>
      <c r="AY19" s="26">
        <f t="shared" si="0"/>
        <v>0.82172915072685537</v>
      </c>
      <c r="AZ19" s="97">
        <f t="shared" ref="AZ19:BA19" si="1">AZ7/AY7</f>
        <v>1.090316573556797</v>
      </c>
      <c r="BA19" s="98">
        <f t="shared" si="1"/>
        <v>1.2502134927412467</v>
      </c>
      <c r="BB19" s="98"/>
      <c r="BC19" s="98"/>
      <c r="BD19" s="98"/>
      <c r="BE19" s="98"/>
      <c r="BF19" s="98"/>
      <c r="BG19" s="98"/>
      <c r="BH19" s="98"/>
      <c r="BI19" s="98"/>
      <c r="BJ19" s="98"/>
      <c r="BK19" s="99"/>
      <c r="BQ19" s="7"/>
      <c r="BR19" s="7"/>
      <c r="BS19" s="7"/>
      <c r="BT19" s="7"/>
      <c r="BU19" s="7"/>
      <c r="BV19" s="7"/>
      <c r="BW19" s="7"/>
      <c r="BX19" s="7"/>
      <c r="BY19" s="7"/>
    </row>
    <row r="20" spans="2:77">
      <c r="B20" s="12" t="s">
        <v>70</v>
      </c>
      <c r="C20" s="26">
        <v>0</v>
      </c>
      <c r="D20" s="27">
        <f t="shared" ref="D20:AY20" si="2">D8/C8</f>
        <v>1.0200329955220364</v>
      </c>
      <c r="E20" s="7">
        <f t="shared" si="2"/>
        <v>0.98151571164510154</v>
      </c>
      <c r="F20" s="7">
        <f t="shared" si="2"/>
        <v>0.78766478342749535</v>
      </c>
      <c r="G20" s="7">
        <f t="shared" si="2"/>
        <v>1.0552898983861327</v>
      </c>
      <c r="H20" s="7">
        <f t="shared" si="2"/>
        <v>0.96290002832058896</v>
      </c>
      <c r="I20" s="7">
        <f t="shared" si="2"/>
        <v>0.84029411764705886</v>
      </c>
      <c r="J20" s="7">
        <f t="shared" si="2"/>
        <v>1.1785089254462724</v>
      </c>
      <c r="K20" s="7">
        <f t="shared" si="2"/>
        <v>1.098010098010098</v>
      </c>
      <c r="L20" s="7">
        <f t="shared" si="2"/>
        <v>0.84365701920476066</v>
      </c>
      <c r="M20" s="7">
        <f t="shared" si="2"/>
        <v>1.0625200384738698</v>
      </c>
      <c r="N20" s="7">
        <f t="shared" si="2"/>
        <v>0.94357272178636087</v>
      </c>
      <c r="O20" s="26">
        <f t="shared" si="2"/>
        <v>0.96897985289414779</v>
      </c>
      <c r="P20" s="27">
        <f t="shared" si="2"/>
        <v>0.93597359735973595</v>
      </c>
      <c r="Q20" s="7">
        <f t="shared" si="2"/>
        <v>0.98589562764456984</v>
      </c>
      <c r="R20" s="7">
        <f t="shared" si="2"/>
        <v>1.2124463519313304</v>
      </c>
      <c r="S20" s="7">
        <f t="shared" si="2"/>
        <v>0.94837758112094395</v>
      </c>
      <c r="T20" s="7">
        <f t="shared" si="2"/>
        <v>0.92503888024883363</v>
      </c>
      <c r="U20" s="7">
        <f t="shared" si="2"/>
        <v>0.85675857431069269</v>
      </c>
      <c r="V20" s="7">
        <f t="shared" si="2"/>
        <v>0.82574568288854</v>
      </c>
      <c r="W20" s="7">
        <f t="shared" si="2"/>
        <v>1.1501901140684412</v>
      </c>
      <c r="X20" s="7">
        <f t="shared" si="2"/>
        <v>1.1297520661157026</v>
      </c>
      <c r="Y20" s="7">
        <f t="shared" si="2"/>
        <v>1.0413313825896122</v>
      </c>
      <c r="Z20" s="7">
        <f t="shared" si="2"/>
        <v>1.1464699683877766</v>
      </c>
      <c r="AA20" s="26">
        <f t="shared" si="2"/>
        <v>0.85171568627450978</v>
      </c>
      <c r="AB20" s="27">
        <f t="shared" si="2"/>
        <v>0.89316546762589921</v>
      </c>
      <c r="AC20" s="7">
        <f t="shared" si="2"/>
        <v>1.0350382601691503</v>
      </c>
      <c r="AD20" s="7">
        <f t="shared" si="2"/>
        <v>1.0657587548638132</v>
      </c>
      <c r="AE20" s="7">
        <f t="shared" si="2"/>
        <v>0.94742606790799555</v>
      </c>
      <c r="AF20" s="7">
        <f t="shared" si="2"/>
        <v>1.0736030828516379</v>
      </c>
      <c r="AG20" s="7">
        <f t="shared" si="2"/>
        <v>1.0247666905958364</v>
      </c>
      <c r="AH20" s="7">
        <f t="shared" si="2"/>
        <v>1.0381786339754817</v>
      </c>
      <c r="AI20" s="7">
        <f t="shared" si="2"/>
        <v>1.0583670715249662</v>
      </c>
      <c r="AJ20" s="7">
        <f t="shared" si="2"/>
        <v>1.0388906598661143</v>
      </c>
      <c r="AK20" s="7">
        <f t="shared" si="2"/>
        <v>0.91807302853636086</v>
      </c>
      <c r="AL20" s="7">
        <f t="shared" si="2"/>
        <v>1.0116978609625669</v>
      </c>
      <c r="AM20" s="26">
        <f t="shared" si="2"/>
        <v>1.0809382226627022</v>
      </c>
      <c r="AN20" s="27">
        <f t="shared" si="2"/>
        <v>0.83771393643031788</v>
      </c>
      <c r="AO20" s="7">
        <f t="shared" si="2"/>
        <v>1.1937249179131704</v>
      </c>
      <c r="AP20" s="7">
        <f t="shared" si="2"/>
        <v>0.97188264058679708</v>
      </c>
      <c r="AQ20" s="7">
        <f t="shared" si="2"/>
        <v>0.95880503144654083</v>
      </c>
      <c r="AR20" s="7">
        <f t="shared" si="2"/>
        <v>1.0636274188258446</v>
      </c>
      <c r="AS20" s="7">
        <f t="shared" si="2"/>
        <v>0.97008942337341975</v>
      </c>
      <c r="AT20" s="7">
        <f t="shared" si="2"/>
        <v>0.95486331849968209</v>
      </c>
      <c r="AU20" s="7">
        <f t="shared" si="2"/>
        <v>1.1488015978695072</v>
      </c>
      <c r="AV20" s="7">
        <f t="shared" si="2"/>
        <v>1.187192118226601</v>
      </c>
      <c r="AW20" s="7">
        <f t="shared" si="2"/>
        <v>1.1549914571637785</v>
      </c>
      <c r="AX20" s="7">
        <f t="shared" si="2"/>
        <v>1.0365595942519019</v>
      </c>
      <c r="AY20" s="26">
        <f t="shared" si="2"/>
        <v>0.7626911314984709</v>
      </c>
      <c r="AZ20" s="27">
        <f t="shared" ref="AZ20:BA20" si="3">AZ8/AY8</f>
        <v>1.0136327185244589</v>
      </c>
      <c r="BA20" s="7">
        <f t="shared" si="3"/>
        <v>1.1326476793248945</v>
      </c>
      <c r="BB20" s="7"/>
      <c r="BC20" s="7"/>
      <c r="BD20" s="7"/>
      <c r="BE20" s="7"/>
      <c r="BF20" s="7"/>
      <c r="BG20" s="7"/>
      <c r="BH20" s="7"/>
      <c r="BI20" s="7"/>
      <c r="BJ20" s="7"/>
      <c r="BK20" s="26"/>
      <c r="BQ20" s="7"/>
      <c r="BR20" s="7"/>
      <c r="BS20" s="7"/>
      <c r="BT20" s="7"/>
      <c r="BU20" s="7"/>
      <c r="BV20" s="7"/>
      <c r="BW20" s="7"/>
      <c r="BX20" s="7"/>
      <c r="BY20" s="7"/>
    </row>
    <row r="21" spans="2:77">
      <c r="B21" s="12" t="s">
        <v>71</v>
      </c>
      <c r="C21" s="26">
        <v>0</v>
      </c>
      <c r="D21" s="7">
        <f t="shared" ref="D21:G21" si="4">D9/C9</f>
        <v>0.93645189761694614</v>
      </c>
      <c r="E21" s="7">
        <f t="shared" si="4"/>
        <v>1.0131950989632423</v>
      </c>
      <c r="F21" s="7">
        <f t="shared" si="4"/>
        <v>0.87162790697674408</v>
      </c>
      <c r="G21" s="7">
        <f t="shared" si="4"/>
        <v>1.545357524012807</v>
      </c>
      <c r="H21" s="7">
        <f t="shared" ref="H21:BA21" si="5">H9/G9</f>
        <v>0.89088397790055252</v>
      </c>
      <c r="I21" s="7">
        <f t="shared" si="5"/>
        <v>0.75193798449612392</v>
      </c>
      <c r="J21" s="7">
        <f t="shared" si="5"/>
        <v>1.3515463917525774</v>
      </c>
      <c r="K21" s="7">
        <f t="shared" si="5"/>
        <v>0.99466056445461482</v>
      </c>
      <c r="L21" s="7">
        <f t="shared" si="5"/>
        <v>0.78757668711656448</v>
      </c>
      <c r="M21" s="7">
        <f t="shared" si="5"/>
        <v>1.2249269717624149</v>
      </c>
      <c r="N21" s="7">
        <f t="shared" si="5"/>
        <v>0.93481717011128773</v>
      </c>
      <c r="O21" s="26">
        <f t="shared" si="5"/>
        <v>0.83673469387755106</v>
      </c>
      <c r="P21" s="27">
        <f t="shared" si="5"/>
        <v>0.96443089430894313</v>
      </c>
      <c r="Q21" s="7">
        <f t="shared" si="5"/>
        <v>0.86722866174920976</v>
      </c>
      <c r="R21" s="7">
        <f t="shared" si="5"/>
        <v>1.174969623329283</v>
      </c>
      <c r="S21" s="7">
        <f t="shared" si="5"/>
        <v>0.96173733195449851</v>
      </c>
      <c r="T21" s="7">
        <f t="shared" si="5"/>
        <v>0.6752688172043011</v>
      </c>
      <c r="U21" s="7">
        <f t="shared" si="5"/>
        <v>0.7707006369426751</v>
      </c>
      <c r="V21" s="7">
        <f t="shared" si="5"/>
        <v>0.70041322314049592</v>
      </c>
      <c r="W21" s="7">
        <f t="shared" si="5"/>
        <v>1.1533923303834808</v>
      </c>
      <c r="X21" s="7">
        <f t="shared" si="5"/>
        <v>1.3964194373401535</v>
      </c>
      <c r="Y21" s="7">
        <f t="shared" si="5"/>
        <v>0.89194139194139199</v>
      </c>
      <c r="Z21" s="7">
        <f t="shared" si="5"/>
        <v>1.4250513347022589</v>
      </c>
      <c r="AA21" s="26">
        <f t="shared" si="5"/>
        <v>1.1685878962536023</v>
      </c>
      <c r="AB21" s="27">
        <f t="shared" si="5"/>
        <v>0.74475955610357591</v>
      </c>
      <c r="AC21" s="7">
        <f t="shared" si="5"/>
        <v>0.90562913907284759</v>
      </c>
      <c r="AD21" s="7">
        <f t="shared" si="5"/>
        <v>0.90127970749542963</v>
      </c>
      <c r="AE21" s="7">
        <f t="shared" si="5"/>
        <v>0.79939148073022315</v>
      </c>
      <c r="AF21" s="7">
        <f t="shared" si="5"/>
        <v>0.92108601877696017</v>
      </c>
      <c r="AG21" s="7">
        <f t="shared" si="5"/>
        <v>1.4738292011019283</v>
      </c>
      <c r="AH21" s="7">
        <f t="shared" si="5"/>
        <v>1.1364485981308412</v>
      </c>
      <c r="AI21" s="7">
        <f t="shared" si="5"/>
        <v>0.95888157894736847</v>
      </c>
      <c r="AJ21" s="7">
        <f t="shared" si="5"/>
        <v>1.2195540308747856</v>
      </c>
      <c r="AK21" s="7">
        <f t="shared" si="5"/>
        <v>1.1856540084388185</v>
      </c>
      <c r="AL21" s="7">
        <f t="shared" si="5"/>
        <v>0.85409252669039148</v>
      </c>
      <c r="AM21" s="26">
        <f t="shared" si="5"/>
        <v>0.60277777777777775</v>
      </c>
      <c r="AN21" s="27">
        <f t="shared" si="5"/>
        <v>0.68663594470046085</v>
      </c>
      <c r="AO21" s="7">
        <f t="shared" si="5"/>
        <v>1.348993288590604</v>
      </c>
      <c r="AP21" s="7">
        <f t="shared" si="5"/>
        <v>0.89552238805970164</v>
      </c>
      <c r="AQ21" s="7">
        <f t="shared" si="5"/>
        <v>1.2166666666666666</v>
      </c>
      <c r="AR21" s="7">
        <f t="shared" si="5"/>
        <v>1.1187214611872147</v>
      </c>
      <c r="AS21" s="7">
        <f t="shared" si="5"/>
        <v>0.90102040816326523</v>
      </c>
      <c r="AT21" s="7">
        <f t="shared" si="5"/>
        <v>0.8742921857304643</v>
      </c>
      <c r="AU21" s="7">
        <f t="shared" si="5"/>
        <v>1.1813471502590673</v>
      </c>
      <c r="AV21" s="7">
        <f t="shared" si="5"/>
        <v>1.0328947368421053</v>
      </c>
      <c r="AW21" s="7">
        <f t="shared" si="5"/>
        <v>0.98513800424628439</v>
      </c>
      <c r="AX21" s="7">
        <f t="shared" si="5"/>
        <v>0.95689655172413812</v>
      </c>
      <c r="AY21" s="26">
        <f t="shared" si="5"/>
        <v>0.79504504504504492</v>
      </c>
      <c r="AZ21" s="27">
        <f t="shared" si="5"/>
        <v>1.0283286118980171</v>
      </c>
      <c r="BA21" s="7">
        <f t="shared" si="5"/>
        <v>1.6666666666666667</v>
      </c>
      <c r="BB21" s="7"/>
      <c r="BC21" s="7"/>
      <c r="BD21" s="7"/>
      <c r="BE21" s="7"/>
      <c r="BF21" s="7"/>
      <c r="BG21" s="7"/>
      <c r="BH21" s="7"/>
      <c r="BI21" s="7"/>
      <c r="BJ21" s="7"/>
      <c r="BK21" s="26"/>
      <c r="BQ21" s="7"/>
      <c r="BR21" s="7"/>
      <c r="BS21" s="7"/>
      <c r="BT21" s="7"/>
      <c r="BU21" s="7"/>
      <c r="BV21" s="7"/>
      <c r="BW21" s="7"/>
      <c r="BX21" s="7"/>
      <c r="BY21" s="7"/>
    </row>
    <row r="22" spans="2:77">
      <c r="B22" s="12" t="s">
        <v>72</v>
      </c>
      <c r="C22" s="26">
        <v>0</v>
      </c>
      <c r="D22" s="27">
        <f t="shared" ref="D22:AY22" si="6">D10/C10</f>
        <v>0.95565749235474007</v>
      </c>
      <c r="E22" s="7">
        <f t="shared" si="6"/>
        <v>0.96299999999999997</v>
      </c>
      <c r="F22" s="7">
        <f t="shared" si="6"/>
        <v>0.75673243336794749</v>
      </c>
      <c r="G22" s="7">
        <f t="shared" si="6"/>
        <v>1.0195773488244442</v>
      </c>
      <c r="H22" s="7">
        <f t="shared" si="6"/>
        <v>0.83687752355316281</v>
      </c>
      <c r="I22" s="7">
        <f t="shared" si="6"/>
        <v>0.7562989171223331</v>
      </c>
      <c r="J22" s="7">
        <f t="shared" si="6"/>
        <v>1.0283527076835839</v>
      </c>
      <c r="K22" s="7">
        <f t="shared" si="6"/>
        <v>1.1007719878687618</v>
      </c>
      <c r="L22" s="7">
        <f t="shared" si="6"/>
        <v>0.82291797119599241</v>
      </c>
      <c r="M22" s="7">
        <f t="shared" si="6"/>
        <v>1.2654086136052354</v>
      </c>
      <c r="N22" s="7">
        <f t="shared" si="6"/>
        <v>1.1920625375826819</v>
      </c>
      <c r="O22" s="26">
        <f t="shared" si="6"/>
        <v>0.89689265536723162</v>
      </c>
      <c r="P22" s="27">
        <f t="shared" si="6"/>
        <v>1.1296962879640045</v>
      </c>
      <c r="Q22" s="7">
        <f t="shared" si="6"/>
        <v>0.93826545852832821</v>
      </c>
      <c r="R22" s="7">
        <f t="shared" si="6"/>
        <v>1.2952350631433724</v>
      </c>
      <c r="S22" s="7">
        <f t="shared" si="6"/>
        <v>0.97959852519459245</v>
      </c>
      <c r="T22" s="7">
        <f t="shared" si="6"/>
        <v>0.71821679491468726</v>
      </c>
      <c r="U22" s="7">
        <f t="shared" si="6"/>
        <v>0.87015255618958887</v>
      </c>
      <c r="V22" s="7">
        <f t="shared" si="6"/>
        <v>0.86670235546038554</v>
      </c>
      <c r="W22" s="7">
        <f t="shared" si="6"/>
        <v>1.028103767757875</v>
      </c>
      <c r="X22" s="7">
        <f t="shared" si="6"/>
        <v>1.2183838990687896</v>
      </c>
      <c r="Y22" s="7">
        <f t="shared" si="6"/>
        <v>0.94908777120315568</v>
      </c>
      <c r="Z22" s="7">
        <f t="shared" si="6"/>
        <v>0.92830237693206918</v>
      </c>
      <c r="AA22" s="26">
        <f t="shared" si="6"/>
        <v>1.0414159787323354</v>
      </c>
      <c r="AB22" s="27">
        <f t="shared" si="6"/>
        <v>0.72537955125621389</v>
      </c>
      <c r="AC22" s="7">
        <f t="shared" si="6"/>
        <v>0.97499536951287269</v>
      </c>
      <c r="AD22" s="7">
        <f t="shared" si="6"/>
        <v>0.95421732522796343</v>
      </c>
      <c r="AE22" s="7">
        <f t="shared" si="6"/>
        <v>1.1162651801712125</v>
      </c>
      <c r="AF22" s="7">
        <f t="shared" si="6"/>
        <v>0.75049045835562689</v>
      </c>
      <c r="AG22" s="7">
        <f t="shared" si="6"/>
        <v>1.3084600760456275</v>
      </c>
      <c r="AH22" s="7">
        <f t="shared" si="6"/>
        <v>1.1807119505993462</v>
      </c>
      <c r="AI22" s="7">
        <f t="shared" si="6"/>
        <v>1.2588832487309645</v>
      </c>
      <c r="AJ22" s="7">
        <f t="shared" si="6"/>
        <v>1.1500488758553276</v>
      </c>
      <c r="AK22" s="7">
        <f t="shared" si="6"/>
        <v>1.0882915427114321</v>
      </c>
      <c r="AL22" s="7">
        <f t="shared" si="6"/>
        <v>0.71756321390217703</v>
      </c>
      <c r="AM22" s="26">
        <f t="shared" si="6"/>
        <v>0.70272108843537417</v>
      </c>
      <c r="AN22" s="27">
        <f t="shared" si="6"/>
        <v>0.90861568247821878</v>
      </c>
      <c r="AO22" s="7">
        <f t="shared" si="6"/>
        <v>1.1843170679735777</v>
      </c>
      <c r="AP22" s="7">
        <f t="shared" si="6"/>
        <v>0.98866498740554165</v>
      </c>
      <c r="AQ22" s="7">
        <f t="shared" si="6"/>
        <v>0.93976342129208368</v>
      </c>
      <c r="AR22" s="7">
        <f t="shared" si="6"/>
        <v>1.213400464756003</v>
      </c>
      <c r="AS22" s="7">
        <f t="shared" si="6"/>
        <v>0.96983721672518364</v>
      </c>
      <c r="AT22" s="7">
        <f t="shared" si="6"/>
        <v>1.023202237946355</v>
      </c>
      <c r="AU22" s="7">
        <f t="shared" si="6"/>
        <v>1.2222579607590864</v>
      </c>
      <c r="AV22" s="7">
        <f t="shared" si="6"/>
        <v>1.1219736842105263</v>
      </c>
      <c r="AW22" s="7">
        <f t="shared" si="6"/>
        <v>1.039404245338337</v>
      </c>
      <c r="AX22" s="7">
        <f t="shared" si="6"/>
        <v>1.1525442852307346</v>
      </c>
      <c r="AY22" s="26">
        <f t="shared" si="6"/>
        <v>0.79334312285854136</v>
      </c>
      <c r="AZ22" s="27">
        <f t="shared" ref="AZ22:BA22" si="7">AZ10/AY10</f>
        <v>0.93336623889437309</v>
      </c>
      <c r="BA22" s="7">
        <f t="shared" si="7"/>
        <v>1.2111316763617133</v>
      </c>
      <c r="BB22" s="7"/>
      <c r="BC22" s="7"/>
      <c r="BD22" s="7"/>
      <c r="BE22" s="7"/>
      <c r="BF22" s="7"/>
      <c r="BG22" s="7"/>
      <c r="BH22" s="7"/>
      <c r="BI22" s="7"/>
      <c r="BJ22" s="7"/>
      <c r="BK22" s="26"/>
      <c r="BQ22" s="7"/>
      <c r="BR22" s="7"/>
      <c r="BS22" s="7"/>
      <c r="BT22" s="7"/>
      <c r="BU22" s="7"/>
      <c r="BV22" s="7"/>
      <c r="BW22" s="7"/>
      <c r="BX22" s="7"/>
      <c r="BY22" s="7"/>
    </row>
    <row r="23" spans="2:77">
      <c r="B23" s="12" t="s">
        <v>75</v>
      </c>
      <c r="C23" s="25">
        <v>0</v>
      </c>
      <c r="D23" s="27">
        <f t="shared" ref="D23:AY23" si="8">D11/C11</f>
        <v>0.66956521739130437</v>
      </c>
      <c r="E23" s="7">
        <f t="shared" si="8"/>
        <v>1.072927072927073</v>
      </c>
      <c r="F23" s="7">
        <f t="shared" si="8"/>
        <v>0.77932960893854741</v>
      </c>
      <c r="G23" s="7">
        <f t="shared" si="8"/>
        <v>1.005973715651135</v>
      </c>
      <c r="H23" s="7">
        <f t="shared" si="8"/>
        <v>0.92517814726840852</v>
      </c>
      <c r="I23" s="7">
        <f t="shared" si="8"/>
        <v>0.85109114249037221</v>
      </c>
      <c r="J23" s="7">
        <f t="shared" si="8"/>
        <v>1.2126696832579185</v>
      </c>
      <c r="K23" s="7">
        <f t="shared" si="8"/>
        <v>0.99004975124378114</v>
      </c>
      <c r="L23" s="7">
        <f t="shared" si="8"/>
        <v>0.81407035175879405</v>
      </c>
      <c r="M23" s="7">
        <f t="shared" si="8"/>
        <v>1.2345679012345678</v>
      </c>
      <c r="N23" s="7">
        <f t="shared" si="8"/>
        <v>1.0375000000000001</v>
      </c>
      <c r="O23" s="26">
        <f t="shared" si="8"/>
        <v>0.87710843373493974</v>
      </c>
      <c r="P23" s="27">
        <f t="shared" si="8"/>
        <v>0.98076923076923073</v>
      </c>
      <c r="Q23" s="7">
        <f t="shared" si="8"/>
        <v>0.95658263305322133</v>
      </c>
      <c r="R23" s="7">
        <f t="shared" si="8"/>
        <v>1.2972181551976574</v>
      </c>
      <c r="S23" s="7">
        <f t="shared" si="8"/>
        <v>0.87697516930022579</v>
      </c>
      <c r="T23" s="7">
        <f t="shared" si="8"/>
        <v>0.76190476190476197</v>
      </c>
      <c r="U23" s="7">
        <f t="shared" si="8"/>
        <v>0.77702702702702697</v>
      </c>
      <c r="V23" s="7">
        <f t="shared" si="8"/>
        <v>0.81739130434782614</v>
      </c>
      <c r="W23" s="7">
        <f t="shared" si="8"/>
        <v>1.175531914893617</v>
      </c>
      <c r="X23" s="7">
        <f t="shared" si="8"/>
        <v>1.255656108597285</v>
      </c>
      <c r="Y23" s="7">
        <f t="shared" si="8"/>
        <v>0.95675675675675675</v>
      </c>
      <c r="Z23" s="7">
        <f t="shared" si="8"/>
        <v>1.2203389830508475</v>
      </c>
      <c r="AA23" s="26">
        <f t="shared" si="8"/>
        <v>1.1450617283950617</v>
      </c>
      <c r="AB23" s="27">
        <f t="shared" si="8"/>
        <v>0.76549865229110514</v>
      </c>
      <c r="AC23" s="7">
        <f t="shared" si="8"/>
        <v>0.98415492957746487</v>
      </c>
      <c r="AD23" s="7">
        <f t="shared" si="8"/>
        <v>1.0894454382826475</v>
      </c>
      <c r="AE23" s="7">
        <f t="shared" si="8"/>
        <v>1.052545155993432</v>
      </c>
      <c r="AF23" s="7">
        <f t="shared" si="8"/>
        <v>0.79251170046801866</v>
      </c>
      <c r="AG23" s="7">
        <f t="shared" si="8"/>
        <v>1.2913385826771653</v>
      </c>
      <c r="AH23" s="7">
        <f t="shared" si="8"/>
        <v>0.86890243902439035</v>
      </c>
      <c r="AI23" s="7">
        <f t="shared" si="8"/>
        <v>1.0473684210526315</v>
      </c>
      <c r="AJ23" s="7">
        <f t="shared" si="8"/>
        <v>1.3165829145728645</v>
      </c>
      <c r="AK23" s="7">
        <f t="shared" si="8"/>
        <v>0.83715012722646309</v>
      </c>
      <c r="AL23" s="7">
        <f t="shared" si="8"/>
        <v>0.99088145896656532</v>
      </c>
      <c r="AM23" s="26">
        <f t="shared" si="8"/>
        <v>0.73926380368098166</v>
      </c>
      <c r="AN23" s="27">
        <f t="shared" si="8"/>
        <v>0.9045643153526971</v>
      </c>
      <c r="AO23" s="7">
        <f t="shared" si="8"/>
        <v>1.1582568807339448</v>
      </c>
      <c r="AP23" s="7">
        <f t="shared" si="8"/>
        <v>0.8376237623762377</v>
      </c>
      <c r="AQ23" s="7">
        <f t="shared" si="8"/>
        <v>1.0496453900709219</v>
      </c>
      <c r="AR23" s="7">
        <f t="shared" si="8"/>
        <v>1.2049549549549547</v>
      </c>
      <c r="AS23" s="7">
        <f t="shared" si="8"/>
        <v>0.9196261682242991</v>
      </c>
      <c r="AT23" s="7">
        <f t="shared" si="8"/>
        <v>0.85365853658536595</v>
      </c>
      <c r="AU23" s="7">
        <f t="shared" si="8"/>
        <v>1.0880952380952382</v>
      </c>
      <c r="AV23" s="7">
        <f t="shared" si="8"/>
        <v>0.99562363238512019</v>
      </c>
      <c r="AW23" s="7">
        <f t="shared" si="8"/>
        <v>1.0703296703296703</v>
      </c>
      <c r="AX23" s="7">
        <f t="shared" si="8"/>
        <v>1.137577002053388</v>
      </c>
      <c r="AY23" s="26">
        <f t="shared" si="8"/>
        <v>0.79783393501805056</v>
      </c>
      <c r="AZ23" s="27">
        <f t="shared" ref="AZ23:BA24" si="9">AZ11/AY11</f>
        <v>1.0542986425339367</v>
      </c>
      <c r="BA23" s="7">
        <f t="shared" si="9"/>
        <v>1.1716738197424892</v>
      </c>
      <c r="BB23" s="7"/>
      <c r="BC23" s="7"/>
      <c r="BD23" s="7"/>
      <c r="BE23" s="7"/>
      <c r="BF23" s="7"/>
      <c r="BG23" s="7"/>
      <c r="BH23" s="7"/>
      <c r="BI23" s="7"/>
      <c r="BJ23" s="7"/>
      <c r="BK23" s="26"/>
      <c r="BQ23" s="7"/>
      <c r="BR23" s="7"/>
      <c r="BS23" s="7"/>
      <c r="BT23" s="7"/>
      <c r="BU23" s="7"/>
      <c r="BV23" s="7"/>
      <c r="BW23" s="7"/>
      <c r="BX23" s="7"/>
      <c r="BY23" s="7"/>
    </row>
    <row r="24" spans="2:77">
      <c r="B24" s="12" t="s">
        <v>76</v>
      </c>
      <c r="C24" s="25">
        <v>0</v>
      </c>
      <c r="D24" s="27">
        <f t="shared" ref="D24:J26" si="10">D12/C12</f>
        <v>0.93759696604033793</v>
      </c>
      <c r="E24" s="7">
        <f t="shared" si="10"/>
        <v>0.88729545872403015</v>
      </c>
      <c r="F24" s="7">
        <f t="shared" si="10"/>
        <v>0.82987981765437213</v>
      </c>
      <c r="G24" s="7">
        <f t="shared" si="10"/>
        <v>1.1068664169787765</v>
      </c>
      <c r="H24" s="7">
        <f t="shared" si="10"/>
        <v>0.98263027295285366</v>
      </c>
      <c r="I24" s="7">
        <f t="shared" si="10"/>
        <v>0.89876033057851235</v>
      </c>
      <c r="J24" s="7">
        <f t="shared" si="10"/>
        <v>1.1356321839080461</v>
      </c>
      <c r="K24" s="7">
        <f t="shared" ref="K24:AY24" si="11">K12/J12</f>
        <v>1.0670265407107511</v>
      </c>
      <c r="L24" s="7">
        <f t="shared" si="11"/>
        <v>0.90514333895446875</v>
      </c>
      <c r="M24" s="7">
        <f t="shared" si="11"/>
        <v>1.1956217978574757</v>
      </c>
      <c r="N24" s="7">
        <f t="shared" si="11"/>
        <v>0.93163225555122697</v>
      </c>
      <c r="O24" s="26">
        <f t="shared" si="11"/>
        <v>0.87727367760819575</v>
      </c>
      <c r="P24" s="27">
        <f t="shared" si="11"/>
        <v>1.0357483317445186</v>
      </c>
      <c r="Q24" s="7">
        <f t="shared" si="11"/>
        <v>1.0338242061665899</v>
      </c>
      <c r="R24" s="7">
        <f t="shared" si="11"/>
        <v>1.1836189628310705</v>
      </c>
      <c r="S24" s="7">
        <f t="shared" si="11"/>
        <v>0.91444151936818363</v>
      </c>
      <c r="T24" s="7">
        <f t="shared" si="11"/>
        <v>0.86304750154225784</v>
      </c>
      <c r="U24" s="7">
        <f t="shared" si="11"/>
        <v>0.88348820586132948</v>
      </c>
      <c r="V24" s="7">
        <f t="shared" si="11"/>
        <v>0.8530204962243797</v>
      </c>
      <c r="W24" s="7">
        <f t="shared" si="11"/>
        <v>1.195384128991464</v>
      </c>
      <c r="X24" s="7">
        <f t="shared" si="11"/>
        <v>1.0333245173234593</v>
      </c>
      <c r="Y24" s="7">
        <f t="shared" si="11"/>
        <v>0.91707192219093925</v>
      </c>
      <c r="Z24" s="7">
        <f t="shared" si="11"/>
        <v>1.0435389338543122</v>
      </c>
      <c r="AA24" s="26">
        <f t="shared" si="11"/>
        <v>1.1497726664883658</v>
      </c>
      <c r="AB24" s="27">
        <f t="shared" si="11"/>
        <v>1.0006978367062107</v>
      </c>
      <c r="AC24" s="7">
        <f t="shared" si="11"/>
        <v>0.97675499767549978</v>
      </c>
      <c r="AD24" s="7">
        <f t="shared" si="11"/>
        <v>0.96144693003331738</v>
      </c>
      <c r="AE24" s="7">
        <f t="shared" si="11"/>
        <v>0.92896039603960401</v>
      </c>
      <c r="AF24" s="7">
        <f t="shared" si="11"/>
        <v>0.96216360245137222</v>
      </c>
      <c r="AG24" s="7">
        <f t="shared" si="11"/>
        <v>1.2520077540847412</v>
      </c>
      <c r="AH24" s="7">
        <f t="shared" si="11"/>
        <v>1.0597213005972128</v>
      </c>
      <c r="AI24" s="7">
        <f t="shared" si="11"/>
        <v>1.0978918806094762</v>
      </c>
      <c r="AJ24" s="7">
        <f t="shared" si="11"/>
        <v>1.2309885931558935</v>
      </c>
      <c r="AK24" s="7">
        <f t="shared" si="11"/>
        <v>1.1312741312741312</v>
      </c>
      <c r="AL24" s="7">
        <f t="shared" si="11"/>
        <v>0.98675767918088741</v>
      </c>
      <c r="AM24" s="26">
        <f t="shared" si="11"/>
        <v>0.68096292197011621</v>
      </c>
      <c r="AN24" s="27">
        <f t="shared" si="11"/>
        <v>0.89943112555871607</v>
      </c>
      <c r="AO24" s="7">
        <f t="shared" si="11"/>
        <v>1.1504404788796023</v>
      </c>
      <c r="AP24" s="7">
        <f t="shared" si="11"/>
        <v>0.97152955036324362</v>
      </c>
      <c r="AQ24" s="7">
        <f t="shared" si="11"/>
        <v>1.070331447049313</v>
      </c>
      <c r="AR24" s="7">
        <f t="shared" si="11"/>
        <v>1.1854229607250755</v>
      </c>
      <c r="AS24" s="7">
        <f t="shared" si="11"/>
        <v>0.7929276839757885</v>
      </c>
      <c r="AT24" s="7">
        <f t="shared" si="11"/>
        <v>0.83828846926476486</v>
      </c>
      <c r="AU24" s="7">
        <f t="shared" si="11"/>
        <v>1.0270788401629525</v>
      </c>
      <c r="AV24" s="7">
        <f t="shared" si="11"/>
        <v>1.1735884274381707</v>
      </c>
      <c r="AW24" s="7">
        <f t="shared" si="11"/>
        <v>1.0105367793240556</v>
      </c>
      <c r="AX24" s="7">
        <f t="shared" si="11"/>
        <v>1.0151485343301201</v>
      </c>
      <c r="AY24" s="26">
        <f t="shared" si="11"/>
        <v>0.71279069767441861</v>
      </c>
      <c r="AZ24" s="27">
        <f t="shared" si="9"/>
        <v>1.0633496465470365</v>
      </c>
      <c r="BA24" s="7">
        <f t="shared" si="9"/>
        <v>1.176681155714651</v>
      </c>
      <c r="BB24" s="7"/>
      <c r="BC24" s="7"/>
      <c r="BD24" s="7"/>
      <c r="BE24" s="7"/>
      <c r="BF24" s="7"/>
      <c r="BG24" s="7"/>
      <c r="BH24" s="7"/>
      <c r="BI24" s="7"/>
      <c r="BJ24" s="7"/>
      <c r="BK24" s="26"/>
      <c r="BQ24" s="7"/>
      <c r="BR24" s="7"/>
      <c r="BS24" s="7"/>
      <c r="BT24" s="7"/>
      <c r="BU24" s="7"/>
      <c r="BV24" s="7"/>
      <c r="BW24" s="7"/>
      <c r="BX24" s="7"/>
      <c r="BY24" s="7"/>
    </row>
    <row r="25" spans="2:77">
      <c r="B25" s="12" t="s">
        <v>74</v>
      </c>
      <c r="C25" s="25">
        <v>0</v>
      </c>
      <c r="D25" s="27">
        <f t="shared" si="10"/>
        <v>1.0893011216566004</v>
      </c>
      <c r="E25" s="7">
        <f t="shared" si="10"/>
        <v>0.94316831683168323</v>
      </c>
      <c r="F25" s="7">
        <f t="shared" si="10"/>
        <v>0.74364896073902997</v>
      </c>
      <c r="G25" s="7">
        <f t="shared" si="10"/>
        <v>1.0375494071146245</v>
      </c>
      <c r="H25" s="7">
        <f t="shared" si="10"/>
        <v>0.95265306122448978</v>
      </c>
      <c r="I25" s="7">
        <f t="shared" si="10"/>
        <v>0.92916309625821203</v>
      </c>
      <c r="J25" s="7">
        <f t="shared" si="10"/>
        <v>1.3243160159852443</v>
      </c>
      <c r="K25" s="7">
        <f t="shared" ref="K25:AY25" si="12">K13/J13</f>
        <v>1.0253017641597029</v>
      </c>
      <c r="L25" s="7">
        <f t="shared" si="12"/>
        <v>0.85352048901969668</v>
      </c>
      <c r="M25" s="7">
        <f t="shared" si="12"/>
        <v>1.2986737400530504</v>
      </c>
      <c r="N25" s="7">
        <f t="shared" si="12"/>
        <v>1.0612745098039216</v>
      </c>
      <c r="O25" s="26">
        <f t="shared" si="12"/>
        <v>0.85161662817551964</v>
      </c>
      <c r="P25" s="27">
        <f t="shared" si="12"/>
        <v>0.98983050847457621</v>
      </c>
      <c r="Q25" s="7">
        <f t="shared" si="12"/>
        <v>1.0837899543378995</v>
      </c>
      <c r="R25" s="7">
        <f t="shared" si="12"/>
        <v>1.1558879292184536</v>
      </c>
      <c r="S25" s="7">
        <f t="shared" si="12"/>
        <v>0.9897940586841627</v>
      </c>
      <c r="T25" s="7">
        <f t="shared" si="12"/>
        <v>0.91714233106241949</v>
      </c>
      <c r="U25" s="7">
        <f t="shared" si="12"/>
        <v>0.84922706283878735</v>
      </c>
      <c r="V25" s="7">
        <f t="shared" si="12"/>
        <v>0.82765957446808514</v>
      </c>
      <c r="W25" s="7">
        <f t="shared" si="12"/>
        <v>1.1253927449300201</v>
      </c>
      <c r="X25" s="7">
        <f t="shared" si="12"/>
        <v>1.0472081218274112</v>
      </c>
      <c r="Y25" s="7">
        <f t="shared" si="12"/>
        <v>1.0029083858458556</v>
      </c>
      <c r="Z25" s="7">
        <f t="shared" si="12"/>
        <v>1.0993233446109232</v>
      </c>
      <c r="AA25" s="26">
        <f t="shared" si="12"/>
        <v>1.0525390195647395</v>
      </c>
      <c r="AB25" s="27">
        <f t="shared" si="12"/>
        <v>1.0747702589807853</v>
      </c>
      <c r="AC25" s="7">
        <f t="shared" si="12"/>
        <v>1.0297318305479986</v>
      </c>
      <c r="AD25" s="7">
        <f t="shared" si="12"/>
        <v>0.91828646914512158</v>
      </c>
      <c r="AE25" s="7">
        <f t="shared" si="12"/>
        <v>0.93341553637484598</v>
      </c>
      <c r="AF25" s="7">
        <f t="shared" si="12"/>
        <v>0.96961690885072649</v>
      </c>
      <c r="AG25" s="7">
        <f t="shared" si="12"/>
        <v>1.2956403269754768</v>
      </c>
      <c r="AH25" s="7">
        <f t="shared" si="12"/>
        <v>1.3715387311601823</v>
      </c>
      <c r="AI25" s="7">
        <f t="shared" si="12"/>
        <v>1.2372859698441092</v>
      </c>
      <c r="AJ25" s="7">
        <f t="shared" si="12"/>
        <v>1.0027883920272642</v>
      </c>
      <c r="AK25" s="7">
        <f t="shared" si="12"/>
        <v>1.0900102986611742</v>
      </c>
      <c r="AL25" s="7">
        <f t="shared" si="12"/>
        <v>0.8863378684807256</v>
      </c>
      <c r="AM25" s="26">
        <f t="shared" si="12"/>
        <v>0.73606225349109899</v>
      </c>
      <c r="AN25" s="27">
        <f t="shared" si="12"/>
        <v>0.99666908037653867</v>
      </c>
      <c r="AO25" s="7">
        <f t="shared" si="12"/>
        <v>1.1543156059285091</v>
      </c>
      <c r="AP25" s="7">
        <f t="shared" si="12"/>
        <v>1.0023917421953676</v>
      </c>
      <c r="AQ25" s="7">
        <f t="shared" si="12"/>
        <v>1.1090041441667715</v>
      </c>
      <c r="AR25" s="7">
        <f t="shared" si="12"/>
        <v>1.1889933189899218</v>
      </c>
      <c r="AS25" s="7">
        <f t="shared" si="12"/>
        <v>0.919047619047619</v>
      </c>
      <c r="AT25" s="7">
        <f t="shared" si="12"/>
        <v>0.97450777202072547</v>
      </c>
      <c r="AU25" s="7">
        <f t="shared" si="12"/>
        <v>1.0842194810718842</v>
      </c>
      <c r="AV25" s="7">
        <f t="shared" si="12"/>
        <v>1.0967045900353081</v>
      </c>
      <c r="AW25" s="7">
        <f t="shared" si="12"/>
        <v>0.91504203183688071</v>
      </c>
      <c r="AX25" s="7">
        <f t="shared" si="12"/>
        <v>1.0388975762314308</v>
      </c>
      <c r="AY25" s="26">
        <f t="shared" si="12"/>
        <v>0.86613358419567255</v>
      </c>
      <c r="AZ25" s="27">
        <f t="shared" ref="AZ25:BA25" si="13">AZ13/AY13</f>
        <v>0.97751710654936463</v>
      </c>
      <c r="BA25" s="7">
        <f t="shared" si="13"/>
        <v>1.2513333333333334</v>
      </c>
      <c r="BB25" s="7"/>
      <c r="BC25" s="7"/>
      <c r="BD25" s="7"/>
      <c r="BE25" s="7"/>
      <c r="BF25" s="7"/>
      <c r="BG25" s="7"/>
      <c r="BH25" s="7"/>
      <c r="BI25" s="7"/>
      <c r="BJ25" s="7"/>
      <c r="BK25" s="26"/>
      <c r="BL25" s="7"/>
      <c r="BM25" s="7"/>
      <c r="BN25" s="7"/>
      <c r="BO25" s="7"/>
      <c r="BP25" s="7"/>
      <c r="BQ25" s="7"/>
      <c r="BR25" s="7"/>
      <c r="BS25" s="7"/>
      <c r="BT25" s="7"/>
      <c r="BU25" s="7"/>
      <c r="BV25" s="7"/>
      <c r="BW25" s="7"/>
      <c r="BX25" s="7"/>
      <c r="BY25" s="7"/>
    </row>
    <row r="26" spans="2:77">
      <c r="B26" s="19" t="s">
        <v>73</v>
      </c>
      <c r="C26" s="28">
        <v>0</v>
      </c>
      <c r="D26" s="30">
        <f t="shared" si="10"/>
        <v>1.0874902063201881</v>
      </c>
      <c r="E26" s="31">
        <f t="shared" si="10"/>
        <v>0.96878001921229595</v>
      </c>
      <c r="F26" s="31">
        <f t="shared" si="10"/>
        <v>0.69484382746653439</v>
      </c>
      <c r="G26" s="31">
        <f t="shared" si="10"/>
        <v>1.0977524081341419</v>
      </c>
      <c r="H26" s="31">
        <f t="shared" si="10"/>
        <v>0.97692557686057846</v>
      </c>
      <c r="I26" s="31">
        <f t="shared" si="10"/>
        <v>0.90319361277445109</v>
      </c>
      <c r="J26" s="31">
        <f t="shared" si="10"/>
        <v>1.2092081031307551</v>
      </c>
      <c r="K26" s="31">
        <f t="shared" ref="K26:K28" si="14">K14/J14</f>
        <v>1.0426439232409381</v>
      </c>
      <c r="L26" s="31">
        <f t="shared" ref="L26:L28" si="15">L14/K14</f>
        <v>0.92900964066608249</v>
      </c>
      <c r="M26" s="31">
        <f t="shared" ref="M26:M28" si="16">M14/L14</f>
        <v>1.189622641509434</v>
      </c>
      <c r="N26" s="31">
        <f t="shared" ref="N26:N28" si="17">N14/M14</f>
        <v>0.98070314565159933</v>
      </c>
      <c r="O26" s="29">
        <f t="shared" ref="O26:O28" si="18">O14/N14</f>
        <v>0.91078167115902964</v>
      </c>
      <c r="P26" s="30">
        <f t="shared" ref="P26:P28" si="19">P14/O14</f>
        <v>0.98253921278484768</v>
      </c>
      <c r="Q26" s="31">
        <f t="shared" ref="Q26:Q28" si="20">Q14/P14</f>
        <v>1.058734939759036</v>
      </c>
      <c r="R26" s="31">
        <f t="shared" ref="R26:R28" si="21">R14/Q14</f>
        <v>1.3086770981507825</v>
      </c>
      <c r="S26" s="31">
        <f t="shared" ref="S26:S28" si="22">S14/R14</f>
        <v>0.97304347826086957</v>
      </c>
      <c r="T26" s="31">
        <f t="shared" ref="T26:T28" si="23">T14/S14</f>
        <v>0.92895442359249325</v>
      </c>
      <c r="U26" s="31">
        <f t="shared" ref="U26:U28" si="24">U14/T14</f>
        <v>0.86291486291486297</v>
      </c>
      <c r="V26" s="31">
        <f t="shared" ref="V26:V28" si="25">V14/U14</f>
        <v>0.84448160535117056</v>
      </c>
      <c r="W26" s="31">
        <f t="shared" ref="W26:W28" si="26">W14/V14</f>
        <v>1.1851485148514851</v>
      </c>
      <c r="X26" s="31">
        <f t="shared" ref="X26:X28" si="27">X14/W14</f>
        <v>1.0893901420217209</v>
      </c>
      <c r="Y26" s="31">
        <f t="shared" ref="Y26:Y28" si="28">Y14/X14</f>
        <v>0.97290388548057272</v>
      </c>
      <c r="Z26" s="31">
        <f t="shared" ref="Z26:Z28" si="29">Z14/Y14</f>
        <v>1.0798738833420913</v>
      </c>
      <c r="AA26" s="29">
        <f t="shared" ref="AA26:AA28" si="30">AA14/Z14</f>
        <v>1.1352798053527979</v>
      </c>
      <c r="AB26" s="30">
        <f t="shared" ref="AB26:AB28" si="31">AB14/AA14</f>
        <v>1.0458636948135449</v>
      </c>
      <c r="AC26" s="31">
        <f t="shared" ref="AC26:AC28" si="32">AC14/AB14</f>
        <v>1.0190573770491804</v>
      </c>
      <c r="AD26" s="31">
        <f t="shared" ref="AD26:AD28" si="33">AD14/AC14</f>
        <v>0.93163080635431328</v>
      </c>
      <c r="AE26" s="31">
        <f t="shared" ref="AE26:AE28" si="34">AE14/AD14</f>
        <v>0.90675588171810917</v>
      </c>
      <c r="AF26" s="31">
        <f t="shared" ref="AF26:AF28" si="35">AF14/AE14</f>
        <v>0.99119257319685794</v>
      </c>
      <c r="AG26" s="31">
        <f t="shared" ref="AG26:AG28" si="36">AG14/AF14</f>
        <v>1.1952449567723344</v>
      </c>
      <c r="AH26" s="31">
        <f t="shared" ref="AH26:AH28" si="37">AH14/AG14</f>
        <v>1.1265822784810127</v>
      </c>
      <c r="AI26" s="31">
        <f t="shared" ref="AI26:AI28" si="38">AI14/AH14</f>
        <v>1.1187800963081862</v>
      </c>
      <c r="AJ26" s="31">
        <f t="shared" ref="AJ26:AJ28" si="39">AJ14/AI14</f>
        <v>0.94787183165949318</v>
      </c>
      <c r="AK26" s="31">
        <f t="shared" ref="AK26:AK28" si="40">AK14/AJ14</f>
        <v>1.112008072653885</v>
      </c>
      <c r="AL26" s="31">
        <f t="shared" ref="AL26:AL28" si="41">AL14/AK14</f>
        <v>0.89367816091954022</v>
      </c>
      <c r="AM26" s="29">
        <f t="shared" ref="AM26:AM28" si="42">AM14/AL14</f>
        <v>0.72702656963953294</v>
      </c>
      <c r="AN26" s="30">
        <f t="shared" ref="AN26:AN28" si="43">AN14/AM14</f>
        <v>0.9548417132216015</v>
      </c>
      <c r="AO26" s="31">
        <f t="shared" ref="AO26:AO28" si="44">AO14/AN14</f>
        <v>1.1623598244758653</v>
      </c>
      <c r="AP26" s="31">
        <f t="shared" ref="AP26:AP28" si="45">AP14/AO14</f>
        <v>1.0192953020134228</v>
      </c>
      <c r="AQ26" s="31">
        <f t="shared" ref="AQ26:AQ28" si="46">AQ14/AP14</f>
        <v>1.0818930041152264</v>
      </c>
      <c r="AR26" s="31">
        <f t="shared" ref="AR26:AR28" si="47">AR14/AQ14</f>
        <v>1.1650817801445417</v>
      </c>
      <c r="AS26" s="31">
        <f t="shared" ref="AS26:AS28" si="48">AS14/AR14</f>
        <v>0.9185439111981718</v>
      </c>
      <c r="AT26" s="31">
        <f t="shared" ref="AT26:AT28" si="49">AT14/AS14</f>
        <v>1.0111960191931757</v>
      </c>
      <c r="AU26" s="31">
        <f t="shared" ref="AU26:AU28" si="50">AU14/AT14</f>
        <v>1.1205623901581723</v>
      </c>
      <c r="AV26" s="31">
        <f t="shared" ref="AV26:AV28" si="51">AV14/AU14</f>
        <v>1.0826537013801758</v>
      </c>
      <c r="AW26" s="31">
        <f t="shared" ref="AW26:AW28" si="52">AW14/AV14</f>
        <v>0.94944227147616989</v>
      </c>
      <c r="AX26" s="31">
        <f t="shared" ref="AX26:AX28" si="53">AX14/AW14</f>
        <v>0.99710100701861437</v>
      </c>
      <c r="AY26" s="29">
        <f t="shared" ref="AY26:BA26" si="54">AY14/AX14</f>
        <v>1.0145371078806427</v>
      </c>
      <c r="AZ26" s="30">
        <f t="shared" si="54"/>
        <v>1.0227752639517347</v>
      </c>
      <c r="BA26" s="31">
        <f t="shared" si="54"/>
        <v>1.2030673941896475</v>
      </c>
      <c r="BB26" s="31"/>
      <c r="BC26" s="31"/>
      <c r="BD26" s="31"/>
      <c r="BE26" s="31"/>
      <c r="BF26" s="31"/>
      <c r="BG26" s="31"/>
      <c r="BH26" s="31"/>
      <c r="BI26" s="31"/>
      <c r="BJ26" s="31"/>
      <c r="BK26" s="29"/>
      <c r="BL26" s="7"/>
      <c r="BM26" s="7"/>
      <c r="BN26" s="7"/>
      <c r="BO26" s="7"/>
      <c r="BP26" s="7"/>
      <c r="BQ26" s="7"/>
      <c r="BR26" s="7"/>
      <c r="BS26" s="7"/>
      <c r="BT26" s="7"/>
      <c r="BU26" s="7"/>
      <c r="BV26" s="7"/>
      <c r="BW26" s="7"/>
      <c r="BX26" s="7"/>
      <c r="BY26" s="7"/>
    </row>
    <row r="27" spans="2:77">
      <c r="B27" s="130" t="s">
        <v>87</v>
      </c>
      <c r="D27" s="7">
        <f>D15/C15</f>
        <v>1.0201736103937324</v>
      </c>
      <c r="E27" s="130">
        <f>E15/D15</f>
        <v>0.95778579890352722</v>
      </c>
      <c r="F27" s="7">
        <f t="shared" ref="F27:J27" si="55">F15/E15</f>
        <v>0.76655866105980608</v>
      </c>
      <c r="G27" s="130">
        <f t="shared" si="55"/>
        <v>1.0802093434400453</v>
      </c>
      <c r="H27" s="7">
        <f t="shared" si="55"/>
        <v>0.95832305603051793</v>
      </c>
      <c r="I27" s="130">
        <f t="shared" si="55"/>
        <v>0.87415709697436239</v>
      </c>
      <c r="J27" s="7">
        <f t="shared" si="55"/>
        <v>1.2042740101167919</v>
      </c>
      <c r="K27" s="130">
        <f t="shared" si="14"/>
        <v>1.0513673936899033</v>
      </c>
      <c r="L27" s="7">
        <f t="shared" si="15"/>
        <v>0.87686590854278468</v>
      </c>
      <c r="M27" s="130">
        <f t="shared" si="16"/>
        <v>1.1780029270567116</v>
      </c>
      <c r="N27" s="7">
        <f t="shared" si="17"/>
        <v>0.98118556573450122</v>
      </c>
      <c r="O27" s="130">
        <f t="shared" si="18"/>
        <v>0.91651295013193868</v>
      </c>
      <c r="P27" s="7">
        <f t="shared" si="19"/>
        <v>0.97550467044069533</v>
      </c>
      <c r="Q27" s="130">
        <f t="shared" si="20"/>
        <v>1.0318764217320002</v>
      </c>
      <c r="R27" s="7">
        <f t="shared" si="21"/>
        <v>1.222023304580278</v>
      </c>
      <c r="S27" s="130">
        <f t="shared" si="22"/>
        <v>0.96945334053307419</v>
      </c>
      <c r="T27" s="7">
        <f t="shared" si="23"/>
        <v>0.89762449177341042</v>
      </c>
      <c r="U27" s="130">
        <f t="shared" si="24"/>
        <v>0.86523444007563244</v>
      </c>
      <c r="V27" s="7">
        <f t="shared" si="25"/>
        <v>0.84212963633659843</v>
      </c>
      <c r="W27" s="130">
        <f t="shared" si="26"/>
        <v>1.1487440135458689</v>
      </c>
      <c r="X27" s="7">
        <f t="shared" si="27"/>
        <v>1.1089334663112851</v>
      </c>
      <c r="Y27" s="130">
        <f t="shared" si="28"/>
        <v>0.97775228759512745</v>
      </c>
      <c r="Z27" s="7">
        <f t="shared" si="29"/>
        <v>1.1039804512964591</v>
      </c>
      <c r="AA27" s="130">
        <f t="shared" si="30"/>
        <v>1.0225001454236877</v>
      </c>
      <c r="AB27" s="7">
        <f t="shared" si="31"/>
        <v>0.97515164856539749</v>
      </c>
      <c r="AC27" s="130">
        <f t="shared" si="32"/>
        <v>1.0061153087011565</v>
      </c>
      <c r="AD27" s="7">
        <f t="shared" si="33"/>
        <v>0.96924231857382881</v>
      </c>
      <c r="AE27" s="130">
        <f t="shared" si="34"/>
        <v>0.93540652545138958</v>
      </c>
      <c r="AF27" s="7">
        <f t="shared" si="35"/>
        <v>0.99333320871381958</v>
      </c>
      <c r="AG27" s="130">
        <f t="shared" si="36"/>
        <v>1.1430277764101244</v>
      </c>
      <c r="AH27" s="7">
        <f t="shared" si="37"/>
        <v>1.1468439740839698</v>
      </c>
      <c r="AI27" s="130">
        <f t="shared" si="38"/>
        <v>1.1231143156894929</v>
      </c>
      <c r="AJ27" s="7">
        <f t="shared" si="39"/>
        <v>1.0236998340436028</v>
      </c>
      <c r="AK27" s="130">
        <f t="shared" si="40"/>
        <v>1.0567522606795672</v>
      </c>
      <c r="AL27" s="7">
        <f t="shared" si="41"/>
        <v>0.90712005421745834</v>
      </c>
      <c r="AM27" s="130">
        <f t="shared" si="42"/>
        <v>0.79534640742613982</v>
      </c>
      <c r="AN27" s="7">
        <f t="shared" si="43"/>
        <v>0.9155565342754588</v>
      </c>
      <c r="AO27" s="130">
        <f t="shared" si="44"/>
        <v>1.1643389905253472</v>
      </c>
      <c r="AP27" s="7">
        <f t="shared" si="45"/>
        <v>0.99501738490051872</v>
      </c>
      <c r="AQ27" s="130">
        <f t="shared" si="46"/>
        <v>1.0395454863691451</v>
      </c>
      <c r="AR27" s="7">
        <f t="shared" si="47"/>
        <v>1.1478170261637397</v>
      </c>
      <c r="AS27" s="130">
        <f t="shared" si="48"/>
        <v>0.9255035536948294</v>
      </c>
      <c r="AT27" s="7">
        <f t="shared" si="49"/>
        <v>0.97608777447439266</v>
      </c>
      <c r="AU27" s="130">
        <f t="shared" si="50"/>
        <v>1.0942096020860916</v>
      </c>
      <c r="AV27" s="7">
        <f t="shared" si="51"/>
        <v>1.1053227772926295</v>
      </c>
      <c r="AW27" s="130">
        <f t="shared" si="52"/>
        <v>0.99524633250094563</v>
      </c>
      <c r="AX27" s="7">
        <f t="shared" si="53"/>
        <v>0.99735836746106232</v>
      </c>
      <c r="AY27" s="130">
        <f t="shared" ref="AY27:BA27" si="56">AY15/AX15</f>
        <v>0.88022293298563559</v>
      </c>
      <c r="AZ27" s="7">
        <f t="shared" si="56"/>
        <v>1.0096620676103478</v>
      </c>
      <c r="BA27" s="130">
        <f t="shared" si="56"/>
        <v>1.1669894839797614</v>
      </c>
      <c r="BB27" s="16"/>
      <c r="BC27" s="16"/>
      <c r="BD27" s="16"/>
      <c r="BE27" s="16"/>
      <c r="BF27" s="16"/>
      <c r="BG27" s="16"/>
      <c r="BH27" s="16"/>
      <c r="BI27" s="16"/>
      <c r="BJ27" s="16"/>
      <c r="BK27" s="16"/>
      <c r="BL27" s="7"/>
      <c r="BM27" s="7"/>
      <c r="BN27" s="7"/>
      <c r="BO27" s="7"/>
      <c r="BP27" s="7"/>
      <c r="BQ27" s="7"/>
      <c r="BR27" s="7"/>
      <c r="BS27" s="7"/>
      <c r="BT27" s="7"/>
      <c r="BU27" s="7"/>
      <c r="BV27" s="7"/>
      <c r="BW27" s="7"/>
      <c r="BX27" s="7"/>
      <c r="BY27" s="7"/>
    </row>
    <row r="28" spans="2:77">
      <c r="B28" s="131" t="s">
        <v>88</v>
      </c>
      <c r="D28" s="7">
        <f>D16/C16</f>
        <v>0.91204328085096065</v>
      </c>
      <c r="E28" s="7">
        <f>E16/D16</f>
        <v>1.0000532438836087</v>
      </c>
      <c r="F28" s="7">
        <f t="shared" ref="F28:J28" si="57">F16/E16</f>
        <v>0.91608000677613355</v>
      </c>
      <c r="G28" s="7">
        <f t="shared" si="57"/>
        <v>1.0911163476322059</v>
      </c>
      <c r="H28" s="7">
        <f t="shared" si="57"/>
        <v>0.95755988078318954</v>
      </c>
      <c r="I28" s="7">
        <f t="shared" si="57"/>
        <v>0.90660429835651068</v>
      </c>
      <c r="J28" s="7">
        <f t="shared" si="57"/>
        <v>1.0798634545768933</v>
      </c>
      <c r="K28" s="7">
        <f t="shared" si="14"/>
        <v>1.0537528602936999</v>
      </c>
      <c r="L28" s="7">
        <f t="shared" si="15"/>
        <v>0.94102855070083891</v>
      </c>
      <c r="M28" s="7">
        <f t="shared" si="16"/>
        <v>1.061752832400052</v>
      </c>
      <c r="N28" s="7">
        <f t="shared" si="17"/>
        <v>0.9738875533532847</v>
      </c>
      <c r="O28" s="7">
        <f t="shared" si="18"/>
        <v>1.035051572358727</v>
      </c>
      <c r="P28" s="7">
        <f t="shared" si="19"/>
        <v>1.0146423608829704</v>
      </c>
      <c r="Q28" s="7">
        <f t="shared" si="20"/>
        <v>1.0024823239348792</v>
      </c>
      <c r="R28" s="7">
        <f t="shared" si="21"/>
        <v>1.0647275128414313</v>
      </c>
      <c r="S28" s="7">
        <f t="shared" si="22"/>
        <v>1.0311389139803793</v>
      </c>
      <c r="T28" s="7">
        <f t="shared" si="23"/>
        <v>0.98228356751856627</v>
      </c>
      <c r="U28" s="7">
        <f t="shared" si="24"/>
        <v>0.95128070883784499</v>
      </c>
      <c r="V28" s="7">
        <f t="shared" si="25"/>
        <v>0.97802031226314989</v>
      </c>
      <c r="W28" s="7">
        <f t="shared" si="26"/>
        <v>1.0891792646287377</v>
      </c>
      <c r="X28" s="7">
        <f t="shared" si="27"/>
        <v>1.0442291694032138</v>
      </c>
      <c r="Y28" s="7">
        <f t="shared" si="28"/>
        <v>1.0158957447120756</v>
      </c>
      <c r="Z28" s="7">
        <f t="shared" si="29"/>
        <v>1.0517206153973153</v>
      </c>
      <c r="AA28" s="7">
        <f t="shared" si="30"/>
        <v>1.0310187647043818</v>
      </c>
      <c r="AB28" s="7">
        <f t="shared" si="31"/>
        <v>0.95838495722591743</v>
      </c>
      <c r="AC28" s="7">
        <f t="shared" si="32"/>
        <v>1.0480212244995226</v>
      </c>
      <c r="AD28" s="7">
        <f t="shared" si="33"/>
        <v>1.0346697590340899</v>
      </c>
      <c r="AE28" s="7">
        <f t="shared" si="34"/>
        <v>1.0113213490389124</v>
      </c>
      <c r="AF28" s="7">
        <f t="shared" si="35"/>
        <v>1.0228346884450319</v>
      </c>
      <c r="AG28" s="7">
        <f t="shared" si="36"/>
        <v>1.020196869910063</v>
      </c>
      <c r="AH28" s="7">
        <f t="shared" si="37"/>
        <v>0.99010321944718249</v>
      </c>
      <c r="AI28" s="7">
        <f t="shared" si="38"/>
        <v>1.0573013522158639</v>
      </c>
      <c r="AJ28" s="7">
        <f t="shared" si="39"/>
        <v>0.97500986343698504</v>
      </c>
      <c r="AK28" s="7">
        <f t="shared" si="40"/>
        <v>1.0270163203057656</v>
      </c>
      <c r="AL28" s="7">
        <f t="shared" si="41"/>
        <v>0.98575787223968758</v>
      </c>
      <c r="AM28" s="7">
        <f t="shared" si="42"/>
        <v>0.94245528591821315</v>
      </c>
      <c r="AN28" s="7">
        <f t="shared" si="43"/>
        <v>0.99237506348173954</v>
      </c>
      <c r="AO28" s="7">
        <f t="shared" si="44"/>
        <v>1.061523847830693</v>
      </c>
      <c r="AP28" s="7">
        <f t="shared" si="45"/>
        <v>1.0496067960261788</v>
      </c>
      <c r="AQ28" s="7">
        <f t="shared" si="46"/>
        <v>1.0216665726557024</v>
      </c>
      <c r="AR28" s="7">
        <f t="shared" si="47"/>
        <v>1.0190665032440029</v>
      </c>
      <c r="AS28" s="7">
        <f t="shared" si="48"/>
        <v>1.0353236557042595</v>
      </c>
      <c r="AT28" s="7">
        <f t="shared" si="49"/>
        <v>1.0226868367307271</v>
      </c>
      <c r="AU28" s="7">
        <f t="shared" si="50"/>
        <v>1.001299669600304</v>
      </c>
      <c r="AV28" s="7">
        <f t="shared" si="51"/>
        <v>0.99947584277619361</v>
      </c>
      <c r="AW28" s="7">
        <f t="shared" si="52"/>
        <v>1.0136629902855889</v>
      </c>
      <c r="AX28" s="7">
        <f t="shared" si="53"/>
        <v>0.99133164145420904</v>
      </c>
      <c r="AY28" s="7">
        <f t="shared" ref="AY28:BA28" si="58">AY16/AX16</f>
        <v>0.9490672900239574</v>
      </c>
      <c r="AZ28" s="7">
        <f t="shared" si="58"/>
        <v>1.104233425033545</v>
      </c>
      <c r="BA28" s="7">
        <f t="shared" si="58"/>
        <v>1.0514703128446208</v>
      </c>
      <c r="BB28" s="16"/>
      <c r="BC28" s="16"/>
      <c r="BD28" s="16"/>
      <c r="BE28" s="16"/>
      <c r="BF28" s="16"/>
      <c r="BG28" s="16"/>
      <c r="BH28" s="16"/>
      <c r="BI28" s="16"/>
      <c r="BJ28" s="16"/>
      <c r="BK28" s="16"/>
      <c r="BL28" s="7"/>
      <c r="BM28" s="7"/>
      <c r="BN28" s="7"/>
      <c r="BO28" s="7"/>
      <c r="BP28" s="7"/>
      <c r="BQ28" s="7"/>
      <c r="BR28" s="7"/>
      <c r="BS28" s="7"/>
      <c r="BT28" s="7"/>
      <c r="BU28" s="7"/>
      <c r="BV28" s="7"/>
      <c r="BW28" s="7"/>
      <c r="BX28" s="7"/>
      <c r="BY28" s="7"/>
    </row>
    <row r="29" spans="2:77" ht="17.25" thickBot="1">
      <c r="B29" s="7"/>
      <c r="D29" s="32"/>
      <c r="E29" s="32"/>
      <c r="F29" s="32"/>
      <c r="G29" s="32"/>
      <c r="I29" s="32"/>
      <c r="J29" s="32"/>
      <c r="K29" s="32"/>
      <c r="L29" s="32"/>
      <c r="M29" s="32"/>
      <c r="N29" s="32"/>
      <c r="O29" s="32"/>
      <c r="P29" s="32"/>
      <c r="Q29" s="32"/>
      <c r="R29" s="32"/>
      <c r="S29" s="32"/>
      <c r="T29" s="32"/>
      <c r="U29" s="32"/>
      <c r="V29" s="32"/>
      <c r="W29" s="32"/>
      <c r="X29" s="32"/>
      <c r="Y29" s="32"/>
      <c r="Z29" s="32"/>
      <c r="AA29" s="32"/>
      <c r="AB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row>
    <row r="30" spans="2:77">
      <c r="B30" s="232" t="s">
        <v>78</v>
      </c>
      <c r="D30" s="32"/>
      <c r="E30" s="32"/>
      <c r="F30" s="32"/>
      <c r="G30" s="32"/>
      <c r="H30" s="32"/>
      <c r="I30" s="32"/>
      <c r="J30" s="32"/>
      <c r="K30" s="32"/>
      <c r="L30" s="32"/>
      <c r="M30" s="32"/>
      <c r="N30" s="32"/>
      <c r="O30" s="32"/>
      <c r="P30" s="32"/>
      <c r="Q30" s="32"/>
      <c r="R30" s="32"/>
      <c r="S30" s="32"/>
      <c r="T30" s="32"/>
      <c r="U30" s="32"/>
      <c r="V30" s="32"/>
      <c r="W30" s="32"/>
      <c r="X30" s="32"/>
      <c r="Y30" s="32"/>
      <c r="Z30" s="32"/>
      <c r="AA30" s="32"/>
      <c r="AB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row>
    <row r="31" spans="2:77" ht="17.25" thickBot="1">
      <c r="B31" s="233"/>
      <c r="C31" s="33" t="s">
        <v>3</v>
      </c>
      <c r="D31" s="34" t="s">
        <v>4</v>
      </c>
      <c r="E31" s="34" t="s">
        <v>5</v>
      </c>
      <c r="F31" s="34" t="s">
        <v>6</v>
      </c>
      <c r="G31" s="34" t="s">
        <v>7</v>
      </c>
      <c r="H31" s="34" t="s">
        <v>8</v>
      </c>
      <c r="I31" s="34" t="s">
        <v>9</v>
      </c>
      <c r="J31" s="34" t="s">
        <v>10</v>
      </c>
      <c r="K31" s="34" t="s">
        <v>11</v>
      </c>
      <c r="L31" s="34" t="s">
        <v>12</v>
      </c>
      <c r="M31" s="34" t="s">
        <v>13</v>
      </c>
      <c r="N31" s="34" t="s">
        <v>14</v>
      </c>
      <c r="O31" s="34" t="s">
        <v>15</v>
      </c>
      <c r="P31" s="34" t="s">
        <v>16</v>
      </c>
      <c r="Q31" s="34" t="s">
        <v>17</v>
      </c>
      <c r="R31" s="34" t="s">
        <v>18</v>
      </c>
      <c r="S31" s="34" t="s">
        <v>19</v>
      </c>
      <c r="T31" s="34" t="s">
        <v>20</v>
      </c>
      <c r="U31" s="34" t="s">
        <v>21</v>
      </c>
      <c r="V31" s="34" t="s">
        <v>22</v>
      </c>
      <c r="W31" s="34" t="s">
        <v>23</v>
      </c>
      <c r="X31" s="34" t="s">
        <v>24</v>
      </c>
      <c r="Y31" s="34" t="s">
        <v>25</v>
      </c>
      <c r="Z31" s="34" t="s">
        <v>26</v>
      </c>
      <c r="AA31" s="35" t="s">
        <v>27</v>
      </c>
      <c r="AB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row>
    <row r="32" spans="2:77">
      <c r="B32" s="9" t="s">
        <v>69</v>
      </c>
      <c r="C32" s="59">
        <v>0</v>
      </c>
      <c r="D32" s="32">
        <v>2.8493150684931523E-2</v>
      </c>
      <c r="E32" s="32">
        <v>-2.082191780821907E-2</v>
      </c>
      <c r="F32" s="32">
        <v>-0.30520547945205467</v>
      </c>
      <c r="G32" s="32">
        <v>-0.24876712328767103</v>
      </c>
      <c r="H32" s="32">
        <v>-0.28821917808219166</v>
      </c>
      <c r="I32" s="32">
        <v>-0.34027397260273973</v>
      </c>
      <c r="J32" s="32">
        <v>-0.22301369863013698</v>
      </c>
      <c r="K32" s="32">
        <v>-0.20931506849315062</v>
      </c>
      <c r="L32" s="32">
        <v>-0.30301369863013694</v>
      </c>
      <c r="M32" s="32">
        <v>-0.11561643835616431</v>
      </c>
      <c r="N32" s="32">
        <v>-0.12438356164383557</v>
      </c>
      <c r="O32" s="32">
        <v>-0.19178082191780821</v>
      </c>
      <c r="P32" s="32">
        <v>-0.25260273972602731</v>
      </c>
      <c r="Q32" s="32">
        <v>-0.19013698630136988</v>
      </c>
      <c r="R32" s="32">
        <v>-1.69863013698629E-2</v>
      </c>
      <c r="S32" s="32">
        <v>-8.2191780821917693E-2</v>
      </c>
      <c r="T32" s="32">
        <v>-0.19287671232876702</v>
      </c>
      <c r="U32" s="32">
        <v>-0.29808219178082185</v>
      </c>
      <c r="V32" s="32">
        <v>-0.38904109589041092</v>
      </c>
      <c r="W32" s="32">
        <v>-0.31890410958904114</v>
      </c>
      <c r="X32" s="32">
        <v>-0.24712328767123293</v>
      </c>
      <c r="Y32" s="32">
        <v>-0.22027397260273973</v>
      </c>
      <c r="Z32" s="32">
        <v>-0.14082191780821918</v>
      </c>
      <c r="AA32" s="120">
        <v>-0.15890410958904111</v>
      </c>
      <c r="AB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row>
    <row r="33" spans="2:77">
      <c r="B33" s="12" t="s">
        <v>70</v>
      </c>
      <c r="C33" s="59">
        <v>0</v>
      </c>
      <c r="D33" s="32">
        <v>2.0032995522036412E-2</v>
      </c>
      <c r="E33" s="32">
        <v>1.1784115012962726E-3</v>
      </c>
      <c r="F33" s="32">
        <v>-0.21140702333254768</v>
      </c>
      <c r="G33" s="32">
        <v>-0.16780579778458626</v>
      </c>
      <c r="H33" s="32">
        <v>-0.19868017911854818</v>
      </c>
      <c r="I33" s="32">
        <v>-0.32665566815932123</v>
      </c>
      <c r="J33" s="32">
        <v>-0.20645769502710343</v>
      </c>
      <c r="K33" s="32">
        <v>-0.12868253594155077</v>
      </c>
      <c r="L33" s="32">
        <v>-0.2649069054913975</v>
      </c>
      <c r="M33" s="32">
        <v>-0.21894885694084365</v>
      </c>
      <c r="N33" s="32">
        <v>-0.26302144708932351</v>
      </c>
      <c r="O33" s="32">
        <v>-0.2858826302144708</v>
      </c>
      <c r="P33" s="32">
        <v>-0.33160499646476538</v>
      </c>
      <c r="Q33" s="32">
        <v>-0.34103228847513534</v>
      </c>
      <c r="R33" s="32">
        <v>-0.20103700212114051</v>
      </c>
      <c r="S33" s="32">
        <v>-0.24228140466650938</v>
      </c>
      <c r="T33" s="32">
        <v>-0.29908083902898874</v>
      </c>
      <c r="U33" s="32">
        <v>-0.39948149893942952</v>
      </c>
      <c r="V33" s="32">
        <v>-0.50412444025453684</v>
      </c>
      <c r="W33" s="32">
        <v>-0.4296488333726135</v>
      </c>
      <c r="X33" s="32">
        <v>-0.35564459109120872</v>
      </c>
      <c r="Y33" s="32">
        <v>-0.32901249116191345</v>
      </c>
      <c r="Z33" s="32">
        <v>-0.23073297195380593</v>
      </c>
      <c r="AA33" s="121">
        <v>-0.34480320527928321</v>
      </c>
      <c r="AB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row>
    <row r="34" spans="2:77">
      <c r="B34" s="12" t="s">
        <v>71</v>
      </c>
      <c r="C34" s="59">
        <v>0</v>
      </c>
      <c r="D34" s="32">
        <v>-6.3548102383053862E-2</v>
      </c>
      <c r="E34" s="32">
        <v>-5.1191526919682206E-2</v>
      </c>
      <c r="F34" s="32">
        <v>-0.17299205648720217</v>
      </c>
      <c r="G34" s="32">
        <v>0.27802294792586069</v>
      </c>
      <c r="H34" s="32">
        <v>0.13857016769638153</v>
      </c>
      <c r="I34" s="32">
        <v>-0.14386584289496906</v>
      </c>
      <c r="J34" s="32">
        <v>0.15710503089143879</v>
      </c>
      <c r="K34" s="32">
        <v>0.15092674315975296</v>
      </c>
      <c r="L34" s="32">
        <v>-9.3556928508384707E-2</v>
      </c>
      <c r="M34" s="32">
        <v>0.1103265666372466</v>
      </c>
      <c r="N34" s="32">
        <v>3.7952338923213036E-2</v>
      </c>
      <c r="O34" s="32">
        <v>-0.13150926743159719</v>
      </c>
      <c r="P34" s="32">
        <v>-0.1624007060900261</v>
      </c>
      <c r="Q34" s="32">
        <v>-0.27360988526037033</v>
      </c>
      <c r="R34" s="32">
        <v>-0.14651368049426261</v>
      </c>
      <c r="S34" s="32">
        <v>-0.17917034421888745</v>
      </c>
      <c r="T34" s="32">
        <v>-0.44571932921447455</v>
      </c>
      <c r="U34" s="32">
        <v>-0.57281553398058227</v>
      </c>
      <c r="V34" s="32">
        <v>-0.70079435127978806</v>
      </c>
      <c r="W34" s="32">
        <v>-0.6548984995586935</v>
      </c>
      <c r="X34" s="32">
        <v>-0.51809355692850811</v>
      </c>
      <c r="Y34" s="32">
        <v>-0.57016769638128828</v>
      </c>
      <c r="Z34" s="32">
        <v>-0.38746690203000833</v>
      </c>
      <c r="AA34" s="121">
        <v>-0.28420123565754574</v>
      </c>
      <c r="AB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row>
    <row r="35" spans="2:77">
      <c r="B35" s="12" t="s">
        <v>72</v>
      </c>
      <c r="C35" s="59">
        <v>0</v>
      </c>
      <c r="D35" s="32">
        <v>-4.4342507645259932E-2</v>
      </c>
      <c r="E35" s="32">
        <v>-7.9701834862385357E-2</v>
      </c>
      <c r="F35" s="32">
        <v>-0.30358053007135566</v>
      </c>
      <c r="G35" s="32">
        <v>-0.28994648318042804</v>
      </c>
      <c r="H35" s="32">
        <v>-0.40577217125382259</v>
      </c>
      <c r="I35" s="32">
        <v>-0.55058613659531086</v>
      </c>
      <c r="J35" s="32">
        <v>-0.53784403669724756</v>
      </c>
      <c r="K35" s="32">
        <v>-0.4912716615698266</v>
      </c>
      <c r="L35" s="32">
        <v>-0.58135830784913356</v>
      </c>
      <c r="M35" s="32">
        <v>-0.47024719673802229</v>
      </c>
      <c r="N35" s="32">
        <v>-0.36850152905198763</v>
      </c>
      <c r="O35" s="32">
        <v>-0.43361365953109066</v>
      </c>
      <c r="P35" s="32">
        <v>-0.36015545361875634</v>
      </c>
      <c r="Q35" s="32">
        <v>-0.39965596330275222</v>
      </c>
      <c r="R35" s="32">
        <v>-0.22241335372069315</v>
      </c>
      <c r="S35" s="32">
        <v>-0.2382772680937818</v>
      </c>
      <c r="T35" s="32">
        <v>-0.45291794087665638</v>
      </c>
      <c r="U35" s="32">
        <v>-0.52395514780835883</v>
      </c>
      <c r="V35" s="32">
        <v>-0.58741080530071343</v>
      </c>
      <c r="W35" s="32">
        <v>-0.57581549439347612</v>
      </c>
      <c r="X35" s="32">
        <v>-0.48318042813455653</v>
      </c>
      <c r="Y35" s="32">
        <v>-0.50949286442405706</v>
      </c>
      <c r="Z35" s="32">
        <v>-0.54466106014271154</v>
      </c>
      <c r="AA35" s="121">
        <v>-0.52580275229357787</v>
      </c>
      <c r="AB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row>
    <row r="36" spans="2:77">
      <c r="B36" s="12" t="s">
        <v>75</v>
      </c>
      <c r="C36" s="59">
        <v>0</v>
      </c>
      <c r="D36" s="32">
        <v>-0.33043478260869563</v>
      </c>
      <c r="E36" s="32">
        <v>-0.28160535117056851</v>
      </c>
      <c r="F36" s="32">
        <v>-0.44013377926421404</v>
      </c>
      <c r="G36" s="32">
        <v>-0.43678929765886287</v>
      </c>
      <c r="H36" s="32">
        <v>-0.47892976588628766</v>
      </c>
      <c r="I36" s="32">
        <v>-0.5565217391304349</v>
      </c>
      <c r="J36" s="32">
        <v>-0.46220735785953193</v>
      </c>
      <c r="K36" s="32">
        <v>-0.46755852842809376</v>
      </c>
      <c r="L36" s="32">
        <v>-0.56655518394648841</v>
      </c>
      <c r="M36" s="32">
        <v>-0.46488294314381284</v>
      </c>
      <c r="N36" s="32">
        <v>-0.44481605351170572</v>
      </c>
      <c r="O36" s="32">
        <v>-0.5130434782608696</v>
      </c>
      <c r="P36" s="32">
        <v>-0.52240802675585285</v>
      </c>
      <c r="Q36" s="32">
        <v>-0.54314381270903012</v>
      </c>
      <c r="R36" s="32">
        <v>-0.40735785953177261</v>
      </c>
      <c r="S36" s="32">
        <v>-0.48026755852842806</v>
      </c>
      <c r="T36" s="32">
        <v>-0.6040133779264214</v>
      </c>
      <c r="U36" s="32">
        <v>-0.69230769230769229</v>
      </c>
      <c r="V36" s="32">
        <v>-0.74849498327759201</v>
      </c>
      <c r="W36" s="32">
        <v>-0.70434782608695645</v>
      </c>
      <c r="X36" s="32">
        <v>-0.62876254180602009</v>
      </c>
      <c r="Y36" s="32">
        <v>-0.64481605351170568</v>
      </c>
      <c r="Z36" s="32">
        <v>-0.56655518394648818</v>
      </c>
      <c r="AA36" s="121">
        <v>-0.50367892976588624</v>
      </c>
      <c r="AB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row>
    <row r="37" spans="2:77">
      <c r="B37" s="12" t="s">
        <v>76</v>
      </c>
      <c r="C37" s="59">
        <v>0</v>
      </c>
      <c r="D37" s="32">
        <v>-6.2403033959662069E-2</v>
      </c>
      <c r="E37" s="32">
        <v>-0.16807446991897945</v>
      </c>
      <c r="F37" s="32">
        <v>-0.30960179279434574</v>
      </c>
      <c r="G37" s="32">
        <v>-0.23582141010170654</v>
      </c>
      <c r="H37" s="32">
        <v>-0.24909498362351312</v>
      </c>
      <c r="I37" s="32">
        <v>-0.32511635924840543</v>
      </c>
      <c r="J37" s="32">
        <v>-0.23358041716945344</v>
      </c>
      <c r="K37" s="32">
        <v>-0.18220996379934495</v>
      </c>
      <c r="L37" s="32">
        <v>-0.25978279606964327</v>
      </c>
      <c r="M37" s="32">
        <v>-0.11498017583175313</v>
      </c>
      <c r="N37" s="32">
        <v>-0.17548698500258586</v>
      </c>
      <c r="O37" s="32">
        <v>-0.27667643509739703</v>
      </c>
      <c r="P37" s="32">
        <v>-0.25081882434063096</v>
      </c>
      <c r="Q37" s="32">
        <v>-0.22547836579900027</v>
      </c>
      <c r="R37" s="32">
        <v>-8.3261506636786886E-2</v>
      </c>
      <c r="S37" s="32">
        <v>-0.1616962592656439</v>
      </c>
      <c r="T37" s="32">
        <v>-0.27650405102568532</v>
      </c>
      <c r="U37" s="32">
        <v>-0.36079986209274273</v>
      </c>
      <c r="V37" s="32">
        <v>-0.45474918117565943</v>
      </c>
      <c r="W37" s="32">
        <v>-0.34821582485778313</v>
      </c>
      <c r="X37" s="32">
        <v>-0.32649543182209972</v>
      </c>
      <c r="Y37" s="32">
        <v>-0.38234787105671453</v>
      </c>
      <c r="Z37" s="32">
        <v>-0.35545595586967771</v>
      </c>
      <c r="AA37" s="121">
        <v>-0.25892087571108435</v>
      </c>
      <c r="AB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row>
    <row r="38" spans="2:77">
      <c r="B38" s="12" t="s">
        <v>74</v>
      </c>
      <c r="C38" s="59">
        <v>0</v>
      </c>
      <c r="D38" s="32">
        <v>8.9301121656600424E-2</v>
      </c>
      <c r="E38" s="32">
        <v>2.7394305435720412E-2</v>
      </c>
      <c r="F38" s="32">
        <v>-0.235979292493529</v>
      </c>
      <c r="G38" s="32">
        <v>-0.20729076790336509</v>
      </c>
      <c r="H38" s="32">
        <v>-0.24482312338222623</v>
      </c>
      <c r="I38" s="32">
        <v>-0.29831751509922355</v>
      </c>
      <c r="J38" s="32">
        <v>-7.0750647109577458E-2</v>
      </c>
      <c r="K38" s="32">
        <v>-4.7238999137187432E-2</v>
      </c>
      <c r="L38" s="32">
        <v>-0.1867989646246766</v>
      </c>
      <c r="M38" s="32">
        <v>5.6082830025884212E-2</v>
      </c>
      <c r="N38" s="32">
        <v>0.12079378774805849</v>
      </c>
      <c r="O38" s="32">
        <v>-4.5513373597929396E-2</v>
      </c>
      <c r="P38" s="32">
        <v>-5.5220017256255582E-2</v>
      </c>
      <c r="Q38" s="32">
        <v>2.3943054357204119E-2</v>
      </c>
      <c r="R38" s="32">
        <v>0.18356341673856713</v>
      </c>
      <c r="S38" s="32">
        <v>0.17148403796376144</v>
      </c>
      <c r="T38" s="32">
        <v>7.441760138050002E-2</v>
      </c>
      <c r="U38" s="32">
        <v>-8.7575496117342944E-2</v>
      </c>
      <c r="V38" s="32">
        <v>-0.24482312338222634</v>
      </c>
      <c r="W38" s="32">
        <v>-0.15012942191544465</v>
      </c>
      <c r="X38" s="32">
        <v>-0.11000862812769663</v>
      </c>
      <c r="Y38" s="32">
        <v>-0.10742018981880963</v>
      </c>
      <c r="Z38" s="32">
        <v>-1.87661777394309E-2</v>
      </c>
      <c r="AA38" s="121">
        <v>3.2786885245901232E-2</v>
      </c>
      <c r="AB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row>
    <row r="39" spans="2:77">
      <c r="B39" s="19" t="s">
        <v>73</v>
      </c>
      <c r="C39" s="62">
        <v>0</v>
      </c>
      <c r="D39" s="122">
        <v>8.7490206320188113E-2</v>
      </c>
      <c r="E39" s="123">
        <v>5.3538782972055499E-2</v>
      </c>
      <c r="F39" s="123">
        <v>-0.26795507965526244</v>
      </c>
      <c r="G39" s="123">
        <v>-0.19639592582919829</v>
      </c>
      <c r="H39" s="123">
        <v>-0.2149386262731785</v>
      </c>
      <c r="I39" s="123">
        <v>-0.29093758161399852</v>
      </c>
      <c r="J39" s="123">
        <v>-0.14259597806215729</v>
      </c>
      <c r="K39" s="123">
        <v>-0.10603290676416832</v>
      </c>
      <c r="L39" s="123">
        <v>-0.16949595194567779</v>
      </c>
      <c r="M39" s="123">
        <v>-1.2013580569339322E-2</v>
      </c>
      <c r="N39" s="123">
        <v>-3.1078610603290646E-2</v>
      </c>
      <c r="O39" s="123">
        <v>-0.1175241577435362</v>
      </c>
      <c r="P39" s="123">
        <v>-0.1329328806476886</v>
      </c>
      <c r="Q39" s="123">
        <v>-8.2005745625489679E-2</v>
      </c>
      <c r="R39" s="123">
        <v>0.2013580569339255</v>
      </c>
      <c r="S39" s="123">
        <v>0.16897362235570657</v>
      </c>
      <c r="T39" s="123">
        <v>8.5923217550274211E-2</v>
      </c>
      <c r="U39" s="123">
        <v>-6.2940715591538243E-2</v>
      </c>
      <c r="V39" s="123">
        <v>-0.20867067119352312</v>
      </c>
      <c r="W39" s="123">
        <v>-6.2157221206581403E-2</v>
      </c>
      <c r="X39" s="123">
        <v>2.1676677983807568E-2</v>
      </c>
      <c r="Y39" s="123">
        <v>-6.0067902846696608E-3</v>
      </c>
      <c r="Z39" s="123">
        <v>7.3387307390963663E-2</v>
      </c>
      <c r="AA39" s="124">
        <v>0.21859493340297709</v>
      </c>
      <c r="AB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row>
    <row r="40" spans="2:77">
      <c r="B40" s="7" t="s">
        <v>86</v>
      </c>
      <c r="D40" s="32">
        <f>PRODUCT($D27:D27)-1</f>
        <v>2.0173610393732444E-2</v>
      </c>
      <c r="E40" s="32">
        <f>PRODUCT($D27:E27)-1</f>
        <v>-2.2892203548743217E-2</v>
      </c>
      <c r="F40" s="32">
        <f>PRODUCT($D27:F27)-1</f>
        <v>-0.25098955584122706</v>
      </c>
      <c r="G40" s="32">
        <f>PRODUCT($D27:G27)-1</f>
        <v>-0.19091191988551515</v>
      </c>
      <c r="H40" s="32">
        <f>PRODUCT($D27:H27)-1</f>
        <v>-0.22463223846682234</v>
      </c>
      <c r="I40" s="32">
        <f>PRODUCT($D27:I27)-1</f>
        <v>-0.32220676849064778</v>
      </c>
      <c r="J40" s="32">
        <f>PRODUCT($D27:J27)-1</f>
        <v>-0.1837512270602133</v>
      </c>
      <c r="K40" s="32">
        <f>PRODUCT($D27:K27)-1</f>
        <v>-0.14182265499171476</v>
      </c>
      <c r="L40" s="32">
        <f>PRODUCT($D27:L27)-1</f>
        <v>-0.24749354267847523</v>
      </c>
      <c r="M40" s="32">
        <f>PRODUCT($D27:M27)-1</f>
        <v>-0.11354519064616742</v>
      </c>
      <c r="N40" s="32">
        <f>PRODUCT($D27:N27)-1</f>
        <v>-0.1302233363860904</v>
      </c>
      <c r="O40" s="32">
        <f>PRODUCT($D27:O27)-1</f>
        <v>-0.20283842407530084</v>
      </c>
      <c r="P40" s="32">
        <f>PRODUCT($D27:P27)-1</f>
        <v>-0.22236515958959102</v>
      </c>
      <c r="Q40" s="32">
        <f>PRODUCT($D27:Q27)-1</f>
        <v>-0.19757694346317212</v>
      </c>
      <c r="R40" s="32">
        <f>PRODUCT($D27:R27)-1</f>
        <v>-1.942032477945832E-2</v>
      </c>
      <c r="S40" s="32">
        <f>PRODUCT($D27:S27)-1</f>
        <v>-4.9373758198608897E-2</v>
      </c>
      <c r="T40" s="32">
        <f>PRODUCT($D27:T27)-1</f>
        <v>-0.14669460283655911</v>
      </c>
      <c r="U40" s="32">
        <f>PRODUCT($D27:U27)-1</f>
        <v>-0.26169078247177502</v>
      </c>
      <c r="V40" s="32">
        <f>PRODUCT($D27:V27)-1</f>
        <v>-0.37824792713899735</v>
      </c>
      <c r="W40" s="32">
        <f>PRODUCT($D27:W27)-1</f>
        <v>-0.28576602839118836</v>
      </c>
      <c r="X40" s="32">
        <f>PRODUCT($D27:X27)-1</f>
        <v>-0.20796204610656455</v>
      </c>
      <c r="Y40" s="32">
        <f>PRODUCT($D27:Y27)-1</f>
        <v>-0.22558307871852945</v>
      </c>
      <c r="Z40" s="32">
        <f>PRODUCT($D27:Z27)-1</f>
        <v>-0.14505885775206773</v>
      </c>
      <c r="AA40" s="32">
        <f>PRODUCT($D27:AA27)-1</f>
        <v>-0.1258225577227956</v>
      </c>
      <c r="AB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row>
    <row r="41" spans="2:77" ht="17.25" thickBot="1">
      <c r="B41" s="131" t="s">
        <v>88</v>
      </c>
      <c r="D41" s="7">
        <f>PRODUCT($D28:D28)-1</f>
        <v>-8.7956719149039353E-2</v>
      </c>
      <c r="E41" s="32">
        <f>PRODUCT($D28:E28)-1</f>
        <v>-8.7908158422747573E-2</v>
      </c>
      <c r="F41" s="7">
        <f>PRODUCT($D28:F28)-1</f>
        <v>-0.16445089958745451</v>
      </c>
      <c r="G41" s="32">
        <f>PRODUCT($D28:G28)-1</f>
        <v>-8.8318717290488125E-2</v>
      </c>
      <c r="H41" s="7">
        <f>PRODUCT($D28:H28)-1</f>
        <v>-0.12701057961641449</v>
      </c>
      <c r="I41" s="32">
        <f>PRODUCT($D28:I28)-1</f>
        <v>-0.20854403906048247</v>
      </c>
      <c r="J41" s="7">
        <f>PRODUCT($D28:J28)-1</f>
        <v>-0.14533563187437792</v>
      </c>
      <c r="K41" s="32">
        <f>PRODUCT($D28:K28)-1</f>
        <v>-9.9394977496518044E-2</v>
      </c>
      <c r="L41" s="7">
        <f>PRODUCT($D28:L28)-1</f>
        <v>-0.15250496091965193</v>
      </c>
      <c r="M41" s="32">
        <f>PRODUCT($D28:M28)-1</f>
        <v>-0.10016974181144767</v>
      </c>
      <c r="N41" s="7">
        <f>PRODUCT($D28:N28)-1</f>
        <v>-0.12366651141949625</v>
      </c>
      <c r="O41" s="32">
        <f>PRODUCT($D28:O28)-1</f>
        <v>-9.2949644734141024E-2</v>
      </c>
      <c r="P41" s="7">
        <f>PRODUCT($D28:P28)-1</f>
        <v>-7.966828609331178E-2</v>
      </c>
      <c r="Q41" s="32">
        <f>PRODUCT($D28:Q28)-1</f>
        <v>-7.7383724651852726E-2</v>
      </c>
      <c r="R41" s="7">
        <f>PRODUCT($D28:R28)-1</f>
        <v>-1.7665067841541982E-2</v>
      </c>
      <c r="S41" s="32">
        <f>PRODUCT($D28:S28)-1</f>
        <v>1.2923775110861957E-2</v>
      </c>
      <c r="T41" s="7">
        <f>PRODUCT($D28:T28)-1</f>
        <v>-5.0216205597285457E-3</v>
      </c>
      <c r="U41" s="32">
        <f>PRODUCT($D28:U28)-1</f>
        <v>-5.3496261927728272E-2</v>
      </c>
      <c r="V41" s="7">
        <f>PRODUCT($D28:V28)-1</f>
        <v>-7.4300118532318216E-2</v>
      </c>
      <c r="W41" s="32">
        <f>PRODUCT($D28:W28)-1</f>
        <v>8.2531161638792483E-3</v>
      </c>
      <c r="X41" s="7">
        <f>PRODUCT($D28:X28)-1</f>
        <v>5.2847314040009641E-2</v>
      </c>
      <c r="Y41" s="32">
        <f>PRODUCT($D28:Y28)-1</f>
        <v>6.9583106164784025E-2</v>
      </c>
      <c r="Z41" s="7">
        <f>PRODUCT($D28:Z28)-1</f>
        <v>0.12490260263419861</v>
      </c>
      <c r="AA41" s="32">
        <f>PRODUCT($D28:AA28)-1</f>
        <v>0.15979569178065556</v>
      </c>
      <c r="AB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row>
    <row r="42" spans="2:77">
      <c r="B42" s="232" t="s">
        <v>79</v>
      </c>
      <c r="D42" s="32"/>
      <c r="E42" s="32"/>
      <c r="F42" s="32"/>
      <c r="G42" s="32"/>
      <c r="H42" s="32"/>
      <c r="I42" s="32"/>
      <c r="J42" s="32"/>
      <c r="K42" s="32"/>
      <c r="L42" s="32"/>
      <c r="M42" s="32"/>
      <c r="N42" s="32"/>
      <c r="O42" s="32"/>
      <c r="P42" s="32"/>
      <c r="Q42" s="32"/>
      <c r="R42" s="32"/>
      <c r="S42" s="32"/>
      <c r="T42" s="32"/>
      <c r="U42" s="32"/>
      <c r="V42" s="32"/>
      <c r="W42" s="32"/>
      <c r="X42" s="32"/>
      <c r="Y42" s="32"/>
      <c r="Z42" s="32"/>
      <c r="AA42" s="32"/>
      <c r="AB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row>
    <row r="43" spans="2:77" ht="17.25" thickBot="1">
      <c r="B43" s="233"/>
      <c r="C43" s="56" t="s">
        <v>3</v>
      </c>
      <c r="D43" s="57" t="s">
        <v>4</v>
      </c>
      <c r="E43" s="57" t="s">
        <v>5</v>
      </c>
      <c r="F43" s="57" t="s">
        <v>6</v>
      </c>
      <c r="G43" s="57" t="s">
        <v>7</v>
      </c>
      <c r="H43" s="57" t="s">
        <v>8</v>
      </c>
      <c r="I43" s="57" t="s">
        <v>9</v>
      </c>
      <c r="J43" s="57" t="s">
        <v>10</v>
      </c>
      <c r="K43" s="57" t="s">
        <v>11</v>
      </c>
      <c r="L43" s="57" t="s">
        <v>12</v>
      </c>
      <c r="M43" s="57" t="s">
        <v>13</v>
      </c>
      <c r="N43" s="57" t="s">
        <v>14</v>
      </c>
      <c r="O43" s="57" t="s">
        <v>15</v>
      </c>
      <c r="P43" s="57" t="s">
        <v>16</v>
      </c>
      <c r="Q43" s="57" t="s">
        <v>17</v>
      </c>
      <c r="R43" s="57" t="s">
        <v>18</v>
      </c>
      <c r="S43" s="57" t="s">
        <v>19</v>
      </c>
      <c r="T43" s="57" t="s">
        <v>20</v>
      </c>
      <c r="U43" s="57" t="s">
        <v>21</v>
      </c>
      <c r="V43" s="57" t="s">
        <v>22</v>
      </c>
      <c r="W43" s="57" t="s">
        <v>23</v>
      </c>
      <c r="X43" s="57" t="s">
        <v>24</v>
      </c>
      <c r="Y43" s="57" t="s">
        <v>25</v>
      </c>
      <c r="Z43" s="57" t="s">
        <v>26</v>
      </c>
      <c r="AA43" s="58" t="s">
        <v>27</v>
      </c>
      <c r="AB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row>
    <row r="44" spans="2:77">
      <c r="B44" s="9" t="s">
        <v>69</v>
      </c>
      <c r="C44" s="60">
        <v>0</v>
      </c>
      <c r="D44" s="125">
        <v>-7.5254237288135517E-2</v>
      </c>
      <c r="E44" s="125">
        <v>2.0338983050847137E-3</v>
      </c>
      <c r="F44" s="125">
        <v>0.21627118644067811</v>
      </c>
      <c r="G44" s="125">
        <v>0.13559322033898313</v>
      </c>
      <c r="H44" s="125">
        <v>-1.3559322033896981E-3</v>
      </c>
      <c r="I44" s="125">
        <v>-0.13152542372881337</v>
      </c>
      <c r="J44" s="125">
        <v>-0.24406779661016931</v>
      </c>
      <c r="K44" s="125">
        <v>-0.15728813559322019</v>
      </c>
      <c r="L44" s="125">
        <v>-6.847457627118636E-2</v>
      </c>
      <c r="M44" s="125">
        <v>-3.5254237288135482E-2</v>
      </c>
      <c r="N44" s="125">
        <v>6.3050847457627235E-2</v>
      </c>
      <c r="O44" s="125">
        <v>4.067796610169494E-2</v>
      </c>
      <c r="P44" s="125">
        <v>-8.4067796610169498E-2</v>
      </c>
      <c r="Q44" s="125">
        <v>-0.22033898305084754</v>
      </c>
      <c r="R44" s="125">
        <v>-0.23186440677966114</v>
      </c>
      <c r="S44" s="125">
        <v>-0.27864406779661022</v>
      </c>
      <c r="T44" s="125">
        <v>-0.28000000000000014</v>
      </c>
      <c r="U44" s="125">
        <v>-0.23796610169491528</v>
      </c>
      <c r="V44" s="125">
        <v>-9.152542372881356E-2</v>
      </c>
      <c r="W44" s="125">
        <v>-1.5593220338983027E-2</v>
      </c>
      <c r="X44" s="125">
        <v>0.18169491525423731</v>
      </c>
      <c r="Y44" s="125">
        <v>0.14711864406779673</v>
      </c>
      <c r="Z44" s="125">
        <v>-2.7118644067796627E-2</v>
      </c>
      <c r="AA44" s="120">
        <v>-0.28474576271186436</v>
      </c>
      <c r="AB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row>
    <row r="45" spans="2:77">
      <c r="B45" s="12" t="s">
        <v>70</v>
      </c>
      <c r="C45" s="61">
        <v>0</v>
      </c>
      <c r="D45" s="126">
        <v>-6.4026402640264046E-2</v>
      </c>
      <c r="E45" s="126">
        <v>-7.7227722772277185E-2</v>
      </c>
      <c r="F45" s="126">
        <v>0.11881188118811892</v>
      </c>
      <c r="G45" s="126">
        <v>6.1056105610561184E-2</v>
      </c>
      <c r="H45" s="126">
        <v>-1.848184818481835E-2</v>
      </c>
      <c r="I45" s="126">
        <v>-0.15907590759075896</v>
      </c>
      <c r="J45" s="126">
        <v>-0.30561056105610551</v>
      </c>
      <c r="K45" s="126">
        <v>-0.20132013201320109</v>
      </c>
      <c r="L45" s="126">
        <v>-9.7689768976897406E-2</v>
      </c>
      <c r="M45" s="126">
        <v>-6.0396039603960117E-2</v>
      </c>
      <c r="N45" s="126">
        <v>7.7227722772277518E-2</v>
      </c>
      <c r="O45" s="126">
        <v>-8.2508250825082285E-2</v>
      </c>
      <c r="P45" s="126">
        <v>-0.18052805280528039</v>
      </c>
      <c r="Q45" s="126">
        <v>-0.15181518151815154</v>
      </c>
      <c r="R45" s="126">
        <v>-9.6039603960395792E-2</v>
      </c>
      <c r="S45" s="126">
        <v>-0.14356435643564336</v>
      </c>
      <c r="T45" s="126">
        <v>-8.0528052805280192E-2</v>
      </c>
      <c r="U45" s="126">
        <v>-5.77557755775574E-2</v>
      </c>
      <c r="V45" s="126">
        <v>-2.1782178217821357E-2</v>
      </c>
      <c r="W45" s="126">
        <v>3.5313531353135641E-2</v>
      </c>
      <c r="X45" s="126">
        <v>7.5577557755776015E-2</v>
      </c>
      <c r="Y45" s="126">
        <v>-1.2541254125412182E-2</v>
      </c>
      <c r="Z45" s="126">
        <v>-9.9009900990065791E-4</v>
      </c>
      <c r="AA45" s="127">
        <v>7.9867986798680013E-2</v>
      </c>
      <c r="AB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row>
    <row r="46" spans="2:77">
      <c r="B46" s="12" t="s">
        <v>71</v>
      </c>
      <c r="C46" s="61">
        <v>0</v>
      </c>
      <c r="D46" s="126">
        <v>-3.5569105691056868E-2</v>
      </c>
      <c r="E46" s="126">
        <v>-0.16361788617886164</v>
      </c>
      <c r="F46" s="126">
        <v>-1.7276422764227584E-2</v>
      </c>
      <c r="G46" s="126">
        <v>-5.4878048780487743E-2</v>
      </c>
      <c r="H46" s="126">
        <v>-0.36178861788617878</v>
      </c>
      <c r="I46" s="126">
        <v>-0.50813008130081294</v>
      </c>
      <c r="J46" s="126">
        <v>-0.65548780487804881</v>
      </c>
      <c r="K46" s="126">
        <v>-0.60264227642276413</v>
      </c>
      <c r="L46" s="126">
        <v>-0.44512195121951215</v>
      </c>
      <c r="M46" s="126">
        <v>-0.50508130081300806</v>
      </c>
      <c r="N46" s="126">
        <v>-0.2947154471544714</v>
      </c>
      <c r="O46" s="126">
        <v>-0.17581300813008116</v>
      </c>
      <c r="P46" s="126">
        <v>-0.38617886178861771</v>
      </c>
      <c r="Q46" s="126">
        <v>-0.44410569105691045</v>
      </c>
      <c r="R46" s="126">
        <v>-0.4989837398373983</v>
      </c>
      <c r="S46" s="126">
        <v>-0.59949186991869907</v>
      </c>
      <c r="T46" s="126">
        <v>-0.63109756097560976</v>
      </c>
      <c r="U46" s="126">
        <v>-0.45630081300813008</v>
      </c>
      <c r="V46" s="126">
        <v>-0.38211382113821135</v>
      </c>
      <c r="W46" s="126">
        <v>-0.40752032520325199</v>
      </c>
      <c r="X46" s="126">
        <v>-0.27743902439024382</v>
      </c>
      <c r="Y46" s="126">
        <v>-0.14329268292682917</v>
      </c>
      <c r="Z46" s="126">
        <v>-0.26829268292682917</v>
      </c>
      <c r="AA46" s="127">
        <v>-0.55894308943089421</v>
      </c>
      <c r="AB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row>
    <row r="47" spans="2:77">
      <c r="B47" s="12" t="s">
        <v>72</v>
      </c>
      <c r="C47" s="61">
        <v>0</v>
      </c>
      <c r="D47" s="126">
        <v>0.12969628796400445</v>
      </c>
      <c r="E47" s="126">
        <v>5.9955005624297009E-2</v>
      </c>
      <c r="F47" s="126">
        <v>0.37289088863891995</v>
      </c>
      <c r="G47" s="126">
        <v>0.34488188976377954</v>
      </c>
      <c r="H47" s="126">
        <v>-3.4083239595050552E-2</v>
      </c>
      <c r="I47" s="126">
        <v>-0.15950506186726654</v>
      </c>
      <c r="J47" s="126">
        <v>-0.27154105736782885</v>
      </c>
      <c r="K47" s="126">
        <v>-0.25106861642294709</v>
      </c>
      <c r="L47" s="126">
        <v>-8.7514060742406974E-2</v>
      </c>
      <c r="M47" s="126">
        <v>-0.13397075365579292</v>
      </c>
      <c r="N47" s="126">
        <v>-0.1960629921259841</v>
      </c>
      <c r="O47" s="126">
        <v>-0.1627671541057365</v>
      </c>
      <c r="P47" s="126">
        <v>-0.39268841394825627</v>
      </c>
      <c r="Q47" s="126">
        <v>-0.40787401574803139</v>
      </c>
      <c r="R47" s="126">
        <v>-0.43498312710911136</v>
      </c>
      <c r="S47" s="126">
        <v>-0.36929133858267715</v>
      </c>
      <c r="T47" s="126">
        <v>-0.52665916760404952</v>
      </c>
      <c r="U47" s="126">
        <v>-0.38065241844769404</v>
      </c>
      <c r="V47" s="126">
        <v>-0.26872890888638923</v>
      </c>
      <c r="W47" s="126">
        <v>-7.9415073115860602E-2</v>
      </c>
      <c r="X47" s="126">
        <v>5.8717660292463503E-2</v>
      </c>
      <c r="Y47" s="126">
        <v>0.152193475815523</v>
      </c>
      <c r="Z47" s="126">
        <v>-0.17322834645669305</v>
      </c>
      <c r="AA47" s="127">
        <v>-0.41901012373453328</v>
      </c>
      <c r="AB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row>
    <row r="48" spans="2:77">
      <c r="B48" s="12" t="s">
        <v>75</v>
      </c>
      <c r="C48" s="61">
        <v>0</v>
      </c>
      <c r="D48" s="126">
        <v>-1.9230769230769273E-2</v>
      </c>
      <c r="E48" s="126">
        <v>-6.1813186813186816E-2</v>
      </c>
      <c r="F48" s="126">
        <v>0.21703296703296693</v>
      </c>
      <c r="G48" s="126">
        <v>6.7307692307692291E-2</v>
      </c>
      <c r="H48" s="126">
        <v>-0.1868131868131867</v>
      </c>
      <c r="I48" s="126">
        <v>-0.36813186813186805</v>
      </c>
      <c r="J48" s="126">
        <v>-0.48351648351648346</v>
      </c>
      <c r="K48" s="126">
        <v>-0.39285714285714279</v>
      </c>
      <c r="L48" s="126">
        <v>-0.23763736263736257</v>
      </c>
      <c r="M48" s="126">
        <v>-0.27060439560439553</v>
      </c>
      <c r="N48" s="126">
        <v>-0.10989010989010972</v>
      </c>
      <c r="O48" s="126">
        <v>1.9230769230769384E-2</v>
      </c>
      <c r="P48" s="126">
        <v>-0.21978021978021967</v>
      </c>
      <c r="Q48" s="126">
        <v>-0.23214285714285698</v>
      </c>
      <c r="R48" s="126">
        <v>-0.16346153846153832</v>
      </c>
      <c r="S48" s="126">
        <v>-0.11950549450549419</v>
      </c>
      <c r="T48" s="126">
        <v>-0.30219780219780201</v>
      </c>
      <c r="U48" s="126">
        <v>-9.8901098901098661E-2</v>
      </c>
      <c r="V48" s="126">
        <v>-0.21703296703296671</v>
      </c>
      <c r="W48" s="126">
        <v>-0.17994505494505464</v>
      </c>
      <c r="X48" s="126">
        <v>7.9670329670330275E-2</v>
      </c>
      <c r="Y48" s="126">
        <v>-9.6153846153845701E-2</v>
      </c>
      <c r="Z48" s="126">
        <v>-0.10439560439560402</v>
      </c>
      <c r="AA48" s="127">
        <v>-0.3379120879120876</v>
      </c>
      <c r="AB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row>
    <row r="49" spans="2:77">
      <c r="B49" s="12" t="s">
        <v>76</v>
      </c>
      <c r="C49" s="61">
        <v>0</v>
      </c>
      <c r="D49" s="126">
        <v>3.5748331744518635E-2</v>
      </c>
      <c r="E49" s="126">
        <v>7.0781696854146814E-2</v>
      </c>
      <c r="F49" s="126">
        <v>0.26739752144899898</v>
      </c>
      <c r="G49" s="126">
        <v>0.15896091515729283</v>
      </c>
      <c r="H49" s="126">
        <v>2.3832221163022638E-4</v>
      </c>
      <c r="I49" s="126">
        <v>-0.1163012392755004</v>
      </c>
      <c r="J49" s="126">
        <v>-0.24618684461391793</v>
      </c>
      <c r="K49" s="126">
        <v>-9.8903717826501203E-2</v>
      </c>
      <c r="L49" s="126">
        <v>-6.8875119161105669E-2</v>
      </c>
      <c r="M49" s="126">
        <v>-0.14609151572926593</v>
      </c>
      <c r="N49" s="126">
        <v>-0.10891325071496649</v>
      </c>
      <c r="O49" s="126">
        <v>2.4547187797902881E-2</v>
      </c>
      <c r="P49" s="126">
        <v>2.5262154432793116E-2</v>
      </c>
      <c r="Q49" s="126">
        <v>1.4299332697806921E-3</v>
      </c>
      <c r="R49" s="126">
        <v>-3.7178265014299439E-2</v>
      </c>
      <c r="S49" s="126">
        <v>-0.10557673975214499</v>
      </c>
      <c r="T49" s="126">
        <v>-0.13941849380362259</v>
      </c>
      <c r="U49" s="126">
        <v>7.7454718779790266E-2</v>
      </c>
      <c r="V49" s="126">
        <v>0.14180171591992341</v>
      </c>
      <c r="W49" s="126">
        <v>0.25357483317445162</v>
      </c>
      <c r="X49" s="126">
        <v>0.5431363203050521</v>
      </c>
      <c r="Y49" s="126">
        <v>0.74571020019065726</v>
      </c>
      <c r="Z49" s="126">
        <v>0.72259294566253529</v>
      </c>
      <c r="AA49" s="127">
        <v>0.17302192564346974</v>
      </c>
      <c r="AB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row>
    <row r="50" spans="2:77">
      <c r="B50" s="12" t="s">
        <v>74</v>
      </c>
      <c r="C50" s="61">
        <v>0</v>
      </c>
      <c r="D50" s="126">
        <v>-1.0169491525423791E-2</v>
      </c>
      <c r="E50" s="126">
        <v>7.2768361581920793E-2</v>
      </c>
      <c r="F50" s="126">
        <v>0.23999999999999977</v>
      </c>
      <c r="G50" s="126">
        <v>0.22734463276836148</v>
      </c>
      <c r="H50" s="126">
        <v>0.12564971751412424</v>
      </c>
      <c r="I50" s="126">
        <v>-4.4067796610169574E-2</v>
      </c>
      <c r="J50" s="126">
        <v>-0.20881355932203394</v>
      </c>
      <c r="K50" s="126">
        <v>-0.10960451977401131</v>
      </c>
      <c r="L50" s="126">
        <v>-6.7570621468926562E-2</v>
      </c>
      <c r="M50" s="126">
        <v>-6.4858757062146832E-2</v>
      </c>
      <c r="N50" s="126">
        <v>2.8022598870056648E-2</v>
      </c>
      <c r="O50" s="126">
        <v>8.2033898305085007E-2</v>
      </c>
      <c r="P50" s="126">
        <v>0.16293785310734488</v>
      </c>
      <c r="Q50" s="126">
        <v>0.19751412429378568</v>
      </c>
      <c r="R50" s="126">
        <v>9.9661016949152748E-2</v>
      </c>
      <c r="S50" s="126">
        <v>2.6440677966101944E-2</v>
      </c>
      <c r="T50" s="126">
        <v>-4.7457627118642209E-3</v>
      </c>
      <c r="U50" s="126">
        <v>0.28949152542372913</v>
      </c>
      <c r="V50" s="126">
        <v>0.76858757062146954</v>
      </c>
      <c r="W50" s="126">
        <v>1.1882485875706221</v>
      </c>
      <c r="X50" s="126">
        <v>1.194350282485876</v>
      </c>
      <c r="Y50" s="126">
        <v>1.3918644067796615</v>
      </c>
      <c r="Z50" s="126">
        <v>1.1200000000000006</v>
      </c>
      <c r="AA50" s="127">
        <v>0.56045197740113029</v>
      </c>
      <c r="AB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row>
    <row r="51" spans="2:77">
      <c r="B51" s="19" t="s">
        <v>73</v>
      </c>
      <c r="C51" s="62">
        <v>0</v>
      </c>
      <c r="D51" s="123">
        <v>-1.7460787215152318E-2</v>
      </c>
      <c r="E51" s="123">
        <v>4.0248594258656345E-2</v>
      </c>
      <c r="F51" s="123">
        <v>0.36134951168984908</v>
      </c>
      <c r="G51" s="123">
        <v>0.32465226398342706</v>
      </c>
      <c r="H51" s="123">
        <v>0.23054158034921568</v>
      </c>
      <c r="I51" s="123">
        <v>6.1852619118082375E-2</v>
      </c>
      <c r="J51" s="123">
        <v>-0.10328499556081672</v>
      </c>
      <c r="K51" s="123">
        <v>6.2740455756140845E-2</v>
      </c>
      <c r="L51" s="123">
        <v>0.15773897602841069</v>
      </c>
      <c r="M51" s="123">
        <v>0.12636874815034038</v>
      </c>
      <c r="N51" s="123">
        <v>0.21633619414027816</v>
      </c>
      <c r="O51" s="123">
        <v>0.38088191772713809</v>
      </c>
      <c r="P51" s="123">
        <v>0.44421426457531821</v>
      </c>
      <c r="Q51" s="123">
        <v>0.47173720035513478</v>
      </c>
      <c r="R51" s="123">
        <v>0.3711157147084938</v>
      </c>
      <c r="S51" s="123">
        <v>0.24326723882805568</v>
      </c>
      <c r="T51" s="123">
        <v>0.23231725362533306</v>
      </c>
      <c r="U51" s="123">
        <v>0.47292098253921311</v>
      </c>
      <c r="V51" s="123">
        <v>0.65936667653151848</v>
      </c>
      <c r="W51" s="123">
        <v>0.85646641018052705</v>
      </c>
      <c r="X51" s="123">
        <v>0.75969221663214026</v>
      </c>
      <c r="Y51" s="123">
        <v>0.95679195028114905</v>
      </c>
      <c r="Z51" s="123">
        <v>0.74874223142941765</v>
      </c>
      <c r="AA51" s="124">
        <v>0.27138206569991175</v>
      </c>
      <c r="AB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row>
    <row r="52" spans="2:77">
      <c r="B52" s="7" t="s">
        <v>86</v>
      </c>
      <c r="D52" s="32">
        <f>PRODUCT($P27:P27)-1</f>
        <v>-2.4495329559304668E-2</v>
      </c>
      <c r="E52" s="32">
        <f>PRODUCT($P27:Q27)-1</f>
        <v>6.6002687171988761E-3</v>
      </c>
      <c r="F52" s="32">
        <f>PRODUCT($P27:R27)-1</f>
        <v>0.2300889867691871</v>
      </c>
      <c r="G52" s="32">
        <f>PRODUCT($P27:S27)-1</f>
        <v>0.19251387737633285</v>
      </c>
      <c r="H52" s="32">
        <f>PRODUCT($P27:T27)-1</f>
        <v>7.0429663112669738E-2</v>
      </c>
      <c r="I52" s="32">
        <f>PRODUCT($P27:U27)-1</f>
        <v>-7.3827389796361387E-2</v>
      </c>
      <c r="J52" s="32">
        <f>PRODUCT($P27:V27)-1</f>
        <v>-0.22004259658429171</v>
      </c>
      <c r="K52" s="32">
        <f>PRODUCT($P27:W27)-1</f>
        <v>-0.10402860200542485</v>
      </c>
      <c r="L52" s="32">
        <f>PRODUCT($P27:X27)-1</f>
        <v>-6.4273319061077805E-3</v>
      </c>
      <c r="M52" s="32">
        <f>PRODUCT($P27:Y27)-1</f>
        <v>-2.8532050879202631E-2</v>
      </c>
      <c r="N52" s="32">
        <f>PRODUCT($P27:Z27)-1</f>
        <v>7.2481624890423424E-2</v>
      </c>
      <c r="O52" s="32">
        <f>PRODUCT($P27:AA27)-1</f>
        <v>9.6612617414690849E-2</v>
      </c>
      <c r="P52" s="32">
        <f>PRODUCT($P27:AB27)-1</f>
        <v>6.9363601709551359E-2</v>
      </c>
      <c r="Q52" s="32">
        <f>PRODUCT($P27:AC27)-1</f>
        <v>7.5903090247785743E-2</v>
      </c>
      <c r="R52" s="32">
        <f>PRODUCT($P27:AD27)-1</f>
        <v>4.2810805752511172E-2</v>
      </c>
      <c r="S52" s="32">
        <f>PRODUCT($P27:AE27)-1</f>
        <v>-2.4547967487879574E-2</v>
      </c>
      <c r="T52" s="32">
        <f>PRODUCT($P27:AF27)-1</f>
        <v>-3.1051102598318336E-2</v>
      </c>
      <c r="U52" s="32">
        <f>PRODUCT($P27:AG27)-1</f>
        <v>0.10753550365208597</v>
      </c>
      <c r="V52" s="32">
        <f>PRODUCT($P27:AH27)-1</f>
        <v>0.27017041844744938</v>
      </c>
      <c r="W52" s="32">
        <f>PRODUCT($P27:AI27)-1</f>
        <v>0.4265465803236439</v>
      </c>
      <c r="X52" s="32">
        <f>PRODUCT($P27:AJ27)-1</f>
        <v>0.46035549753278326</v>
      </c>
      <c r="Y52" s="32">
        <f>PRODUCT($P27:AK27)-1</f>
        <v>0.54323397341360291</v>
      </c>
      <c r="Z52" s="32">
        <f>PRODUCT($P27:AL27)-1</f>
        <v>0.3998984856331711</v>
      </c>
      <c r="AA52" s="32">
        <f>PRODUCT($P27:AM27)-1</f>
        <v>0.11340423130963617</v>
      </c>
      <c r="AB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row>
    <row r="53" spans="2:77" ht="17.25" thickBot="1">
      <c r="B53" s="131" t="s">
        <v>88</v>
      </c>
      <c r="D53" s="32">
        <f>PRODUCT($P28:P28)-1</f>
        <v>1.464236088297044E-2</v>
      </c>
      <c r="E53" s="32">
        <f>PRODUCT($P28:Q28)-1</f>
        <v>1.7161031900732704E-2</v>
      </c>
      <c r="F53" s="32">
        <f>PRODUCT($P28:R28)-1</f>
        <v>8.2999335654890816E-2</v>
      </c>
      <c r="G53" s="32">
        <f>PRODUCT($P28:S28)-1</f>
        <v>0.11672275880865635</v>
      </c>
      <c r="H53" s="32">
        <f>PRODUCT($P28:T28)-1</f>
        <v>9.693841545174231E-2</v>
      </c>
      <c r="I53" s="32">
        <f>PRODUCT($P28:U28)-1</f>
        <v>4.3496353402395993E-2</v>
      </c>
      <c r="J53" s="32">
        <f>PRODUCT($P28:V28)-1</f>
        <v>2.056062940006953E-2</v>
      </c>
      <c r="K53" s="32">
        <f>PRODUCT($P28:W28)-1</f>
        <v>0.11157347583900945</v>
      </c>
      <c r="L53" s="32">
        <f>PRODUCT($P28:X28)-1</f>
        <v>0.16073744740601215</v>
      </c>
      <c r="M53" s="32">
        <f>PRODUCT($P28:Y28)-1</f>
        <v>0.1791882335477244</v>
      </c>
      <c r="N53" s="32">
        <f>PRODUCT($P28:Z28)-1</f>
        <v>0.24017657465608577</v>
      </c>
      <c r="O53" s="32">
        <f>PRODUCT($P28:AA28)-1</f>
        <v>0.27864532001722919</v>
      </c>
      <c r="P53" s="32">
        <f>PRODUCT($P28:AB28)-1</f>
        <v>0.2254344403318318</v>
      </c>
      <c r="Q53" s="32">
        <f>PRODUCT($P28:AC28)-1</f>
        <v>0.2842813027004536</v>
      </c>
      <c r="R53" s="32">
        <f>PRODUCT($P28:AD28)-1</f>
        <v>0.32880702599706524</v>
      </c>
      <c r="S53" s="32">
        <f>PRODUCT($P28:AE28)-1</f>
        <v>0.34385091414373714</v>
      </c>
      <c r="T53" s="32">
        <f>PRODUCT($P28:AF28)-1</f>
        <v>0.3745373310847806</v>
      </c>
      <c r="U53" s="32">
        <f>PRODUCT($P28:AG28)-1</f>
        <v>0.40229868274722502</v>
      </c>
      <c r="V53" s="32">
        <f>PRODUCT($P28:AH28)-1</f>
        <v>0.38842044041457058</v>
      </c>
      <c r="W53" s="32">
        <f>PRODUCT($P28:AI28)-1</f>
        <v>0.46797880909447076</v>
      </c>
      <c r="X53" s="32">
        <f>PRODUCT($P28:AJ28)-1</f>
        <v>0.43129381818358792</v>
      </c>
      <c r="Y53" s="32">
        <f>PRODUCT($P28:AK28)-1</f>
        <v>0.46996211042729796</v>
      </c>
      <c r="Z53" s="32">
        <f>PRODUCT($P28:AL28)-1</f>
        <v>0.44902672224777396</v>
      </c>
      <c r="AA53" s="32">
        <f>PRODUCT($P28:AM28)-1</f>
        <v>0.36564289381915693</v>
      </c>
      <c r="AB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row>
    <row r="54" spans="2:77">
      <c r="B54" s="232" t="s">
        <v>77</v>
      </c>
      <c r="D54" s="32"/>
      <c r="E54" s="32"/>
      <c r="F54" s="32"/>
      <c r="G54" s="32"/>
      <c r="H54" s="32"/>
      <c r="I54" s="32"/>
      <c r="J54" s="32"/>
      <c r="K54" s="32"/>
      <c r="L54" s="32"/>
      <c r="M54" s="32"/>
      <c r="N54" s="32"/>
      <c r="O54" s="32"/>
      <c r="P54" s="32"/>
      <c r="Q54" s="32"/>
      <c r="R54" s="32"/>
      <c r="S54" s="32"/>
      <c r="T54" s="32"/>
      <c r="U54" s="32"/>
      <c r="V54" s="32"/>
      <c r="W54" s="32"/>
      <c r="X54" s="32"/>
      <c r="Y54" s="32"/>
      <c r="Z54" s="32"/>
      <c r="AA54" s="32"/>
      <c r="AB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row>
    <row r="55" spans="2:77" ht="17.25" thickBot="1">
      <c r="B55" s="233"/>
      <c r="C55" s="33" t="s">
        <v>3</v>
      </c>
      <c r="D55" s="34" t="s">
        <v>4</v>
      </c>
      <c r="E55" s="34" t="s">
        <v>5</v>
      </c>
      <c r="F55" s="34" t="s">
        <v>6</v>
      </c>
      <c r="G55" s="34" t="s">
        <v>7</v>
      </c>
      <c r="H55" s="34" t="s">
        <v>8</v>
      </c>
      <c r="I55" s="34" t="s">
        <v>9</v>
      </c>
      <c r="J55" s="34" t="s">
        <v>10</v>
      </c>
      <c r="K55" s="34" t="s">
        <v>11</v>
      </c>
      <c r="L55" s="34" t="s">
        <v>12</v>
      </c>
      <c r="M55" s="34" t="s">
        <v>13</v>
      </c>
      <c r="N55" s="34" t="s">
        <v>14</v>
      </c>
      <c r="O55" s="34" t="s">
        <v>15</v>
      </c>
      <c r="P55" s="34" t="s">
        <v>16</v>
      </c>
      <c r="Q55" s="34" t="s">
        <v>17</v>
      </c>
      <c r="R55" s="34" t="s">
        <v>18</v>
      </c>
      <c r="S55" s="34" t="s">
        <v>19</v>
      </c>
      <c r="T55" s="34" t="s">
        <v>20</v>
      </c>
      <c r="U55" s="34" t="s">
        <v>21</v>
      </c>
      <c r="V55" s="34" t="s">
        <v>22</v>
      </c>
      <c r="W55" s="34" t="s">
        <v>23</v>
      </c>
      <c r="X55" s="34" t="s">
        <v>24</v>
      </c>
      <c r="Y55" s="34" t="s">
        <v>25</v>
      </c>
      <c r="Z55" s="34" t="s">
        <v>26</v>
      </c>
      <c r="AA55" s="35" t="s">
        <v>27</v>
      </c>
      <c r="AB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row>
    <row r="56" spans="2:77">
      <c r="B56" s="9" t="s">
        <v>69</v>
      </c>
      <c r="C56" s="60">
        <v>0</v>
      </c>
      <c r="D56" s="32">
        <f>PRODUCT($AB19:AB19)-1</f>
        <v>-0.11986970684039089</v>
      </c>
      <c r="E56" s="32">
        <f>PRODUCT($AB19:AC19)-1</f>
        <v>-0.250814332247557</v>
      </c>
      <c r="F56" s="32">
        <f>PRODUCT($AB19:AD19)-1</f>
        <v>-0.26188925081433223</v>
      </c>
      <c r="G56" s="32">
        <f>PRODUCT($AB19:AE19)-1</f>
        <v>-0.30684039087947879</v>
      </c>
      <c r="H56" s="32">
        <f>PRODUCT($AB19:AF19)-1</f>
        <v>-0.30814332247557008</v>
      </c>
      <c r="I56" s="32">
        <f>PRODUCT($AB19:AG19)-1</f>
        <v>-0.26775244299674261</v>
      </c>
      <c r="J56" s="32">
        <f>PRODUCT($AB19:AH19)-1</f>
        <v>-0.12703583061889245</v>
      </c>
      <c r="K56" s="32">
        <f>PRODUCT($AB19:AI19)-1</f>
        <v>-5.4071661237784951E-2</v>
      </c>
      <c r="L56" s="32">
        <f>PRODUCT($AB19:AJ19)-1</f>
        <v>0.13550488599348531</v>
      </c>
      <c r="M56" s="32">
        <f>PRODUCT($AB19:AK19)-1</f>
        <v>0.10228013029315974</v>
      </c>
      <c r="N56" s="32">
        <f>PRODUCT($AB19:AL19)-1</f>
        <v>-6.514657980456029E-2</v>
      </c>
      <c r="O56" s="32">
        <f>PRODUCT($AB19:AM19)-1</f>
        <v>-0.31270358306188917</v>
      </c>
      <c r="P56" s="32">
        <f>PRODUCT($AB19:AN19)-1</f>
        <v>-0.35179153094462545</v>
      </c>
      <c r="Q56" s="32">
        <f>PRODUCT($AB19:AO19)-1</f>
        <v>-0.25667752442996739</v>
      </c>
      <c r="R56" s="32">
        <f>PRODUCT($AB19:AP19)-1</f>
        <v>-0.2690553745928338</v>
      </c>
      <c r="S56" s="32">
        <f>PRODUCT($AB19:AQ19)-1</f>
        <v>-0.25146579804560265</v>
      </c>
      <c r="T56" s="32">
        <f>PRODUCT($AB19:AR19)-1</f>
        <v>-0.12899022801302951</v>
      </c>
      <c r="U56" s="32">
        <f>PRODUCT($AB19:AS19)-1</f>
        <v>-0.26775244299674283</v>
      </c>
      <c r="V56" s="32">
        <f>PRODUCT($AB19:AT19)-1</f>
        <v>-0.14462540716612382</v>
      </c>
      <c r="W56" s="32">
        <f>PRODUCT($AB19:AU19)-1</f>
        <v>-8.4690553745928376E-2</v>
      </c>
      <c r="X56" s="32">
        <f>PRODUCT($AB19:AV19)-1</f>
        <v>-1.3029315960914056E-3</v>
      </c>
      <c r="Y56" s="32">
        <f>PRODUCT($AB19:AW19)-1</f>
        <v>-0.13355048859934859</v>
      </c>
      <c r="Z56" s="32">
        <f>PRODUCT($AB19:AX19)-1</f>
        <v>-0.14853420195439748</v>
      </c>
      <c r="AA56" s="120">
        <f>PRODUCT($AB19:AY19)-1</f>
        <v>-0.30032573289902287</v>
      </c>
      <c r="AB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row>
    <row r="57" spans="2:77">
      <c r="B57" s="12" t="s">
        <v>70</v>
      </c>
      <c r="C57" s="61">
        <v>0</v>
      </c>
      <c r="D57" s="32">
        <f>PRODUCT($AB20:AB20)-1</f>
        <v>-0.10683453237410079</v>
      </c>
      <c r="E57" s="32">
        <f>PRODUCT($AB20:AC20)-1</f>
        <v>-7.5539568345323715E-2</v>
      </c>
      <c r="F57" s="32">
        <f>PRODUCT($AB20:AD20)-1</f>
        <v>-1.4748201438848918E-2</v>
      </c>
      <c r="G57" s="32">
        <f>PRODUCT($AB20:AE20)-1</f>
        <v>-6.6546762589928088E-2</v>
      </c>
      <c r="H57" s="32">
        <f>PRODUCT($AB20:AF20)-1</f>
        <v>2.1582733812950394E-3</v>
      </c>
      <c r="I57" s="32">
        <f>PRODUCT($AB20:AG20)-1</f>
        <v>2.6978417266187105E-2</v>
      </c>
      <c r="J57" s="32">
        <f>PRODUCT($AB20:AH20)-1</f>
        <v>6.6187050359712396E-2</v>
      </c>
      <c r="K57" s="32">
        <f>PRODUCT($AB20:AI20)-1</f>
        <v>0.12841726618705041</v>
      </c>
      <c r="L57" s="32">
        <f>PRODUCT($AB20:AJ20)-1</f>
        <v>0.17230215827338147</v>
      </c>
      <c r="M57" s="32">
        <f>PRODUCT($AB20:AK20)-1</f>
        <v>7.6258992805755543E-2</v>
      </c>
      <c r="N57" s="32">
        <f>PRODUCT($AB20:AL20)-1</f>
        <v>8.8848920863309422E-2</v>
      </c>
      <c r="O57" s="32">
        <f>PRODUCT($AB20:AM20)-1</f>
        <v>0.17697841726618702</v>
      </c>
      <c r="P57" s="32">
        <f>PRODUCT($AB20:AN20)-1</f>
        <v>-1.4028776978417201E-2</v>
      </c>
      <c r="Q57" s="32">
        <f>PRODUCT($AB20:AO20)-1</f>
        <v>0.17697841726618702</v>
      </c>
      <c r="R57" s="32">
        <f>PRODUCT($AB20:AP20)-1</f>
        <v>0.14388489208633093</v>
      </c>
      <c r="S57" s="32">
        <f>PRODUCT($AB20:AQ20)-1</f>
        <v>9.676258992805753E-2</v>
      </c>
      <c r="T57" s="32">
        <f>PRODUCT($AB20:AR20)-1</f>
        <v>0.16654676258992795</v>
      </c>
      <c r="U57" s="32">
        <f>PRODUCT($AB20:AS20)-1</f>
        <v>0.13165467625899274</v>
      </c>
      <c r="V57" s="32">
        <f>PRODUCT($AB20:AT20)-1</f>
        <v>8.0575539568345178E-2</v>
      </c>
      <c r="W57" s="32">
        <f>PRODUCT($AB20:AU20)-1</f>
        <v>0.24136690647481984</v>
      </c>
      <c r="X57" s="32">
        <f>PRODUCT($AB20:AV20)-1</f>
        <v>0.47374100719424428</v>
      </c>
      <c r="Y57" s="32">
        <f>PRODUCT($AB20:AW20)-1</f>
        <v>0.70215827338129477</v>
      </c>
      <c r="Z57" s="32">
        <f>PRODUCT($AB20:AX20)-1</f>
        <v>0.76438848920863278</v>
      </c>
      <c r="AA57" s="121">
        <f>PRODUCT($AB20:AY20)-1</f>
        <v>0.34568345323740979</v>
      </c>
      <c r="AB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row>
    <row r="58" spans="2:77">
      <c r="B58" s="12" t="s">
        <v>71</v>
      </c>
      <c r="C58" s="61">
        <v>0</v>
      </c>
      <c r="D58" s="32">
        <f>PRODUCT($AB21:AB21)-1</f>
        <v>-0.25524044389642409</v>
      </c>
      <c r="E58" s="32">
        <f>PRODUCT($AB21:AC21)-1</f>
        <v>-0.32552404438964244</v>
      </c>
      <c r="F58" s="32">
        <f>PRODUCT($AB21:AD21)-1</f>
        <v>-0.39210850801479658</v>
      </c>
      <c r="G58" s="32">
        <f>PRODUCT($AB21:AE21)-1</f>
        <v>-0.51405672009864367</v>
      </c>
      <c r="H58" s="32">
        <f>PRODUCT($AB21:AF21)-1</f>
        <v>-0.55240443896424174</v>
      </c>
      <c r="I58" s="32">
        <f>PRODUCT($AB21:AG21)-1</f>
        <v>-0.34032059186189889</v>
      </c>
      <c r="J58" s="32">
        <f>PRODUCT($AB21:AH21)-1</f>
        <v>-0.25030826140567197</v>
      </c>
      <c r="K58" s="32">
        <f>PRODUCT($AB21:AI21)-1</f>
        <v>-0.28113440197287287</v>
      </c>
      <c r="L58" s="32">
        <f>PRODUCT($AB21:AJ21)-1</f>
        <v>-0.12330456226880371</v>
      </c>
      <c r="M58" s="32">
        <f>PRODUCT($AB21:AK21)-1</f>
        <v>3.9457459926017568E-2</v>
      </c>
      <c r="N58" s="32">
        <f>PRODUCT($AB21:AL21)-1</f>
        <v>-0.11220715166461126</v>
      </c>
      <c r="O58" s="32">
        <f>PRODUCT($AB21:AM21)-1</f>
        <v>-0.46485819975339071</v>
      </c>
      <c r="P58" s="32">
        <f>PRODUCT($AB21:AN21)-1</f>
        <v>-0.6325524044389641</v>
      </c>
      <c r="Q58" s="32">
        <f>PRODUCT($AB21:AO21)-1</f>
        <v>-0.50431565967940795</v>
      </c>
      <c r="R58" s="32">
        <f>PRODUCT($AB21:AP21)-1</f>
        <v>-0.55610357583230563</v>
      </c>
      <c r="S58" s="32">
        <f>PRODUCT($AB21:AQ21)-1</f>
        <v>-0.45992601726263849</v>
      </c>
      <c r="T58" s="32">
        <f>PRODUCT($AB21:AR21)-1</f>
        <v>-0.39580764488286035</v>
      </c>
      <c r="U58" s="32">
        <f>PRODUCT($AB21:AS21)-1</f>
        <v>-0.45561035758323032</v>
      </c>
      <c r="V58" s="32">
        <f>PRODUCT($AB21:AT21)-1</f>
        <v>-0.52404438964241651</v>
      </c>
      <c r="W58" s="32">
        <f>PRODUCT($AB21:AU21)-1</f>
        <v>-0.43773119605425381</v>
      </c>
      <c r="X58" s="32">
        <f>PRODUCT($AB21:AV21)-1</f>
        <v>-0.41923551171393314</v>
      </c>
      <c r="Y58" s="32">
        <f>PRODUCT($AB21:AW21)-1</f>
        <v>-0.42786683107274948</v>
      </c>
      <c r="Z58" s="32">
        <f>PRODUCT($AB21:AX21)-1</f>
        <v>-0.45252774352651015</v>
      </c>
      <c r="AA58" s="121">
        <f>PRODUCT($AB21:AY21)-1</f>
        <v>-0.56473489519112186</v>
      </c>
      <c r="AB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row>
    <row r="59" spans="2:77">
      <c r="B59" s="12" t="s">
        <v>72</v>
      </c>
      <c r="C59" s="61">
        <v>0</v>
      </c>
      <c r="D59" s="32">
        <f>PRODUCT($AB22:AB22)-1</f>
        <v>-0.27462044874378611</v>
      </c>
      <c r="E59" s="32">
        <f>PRODUCT($AB22:AC22)-1</f>
        <v>-0.29275829638586592</v>
      </c>
      <c r="F59" s="32">
        <f>PRODUCT($AB22:AD22)-1</f>
        <v>-0.32513771328765295</v>
      </c>
      <c r="G59" s="32">
        <f>PRODUCT($AB22:AE22)-1</f>
        <v>-0.24667472793228551</v>
      </c>
      <c r="H59" s="32">
        <f>PRODUCT($AB22:AF22)-1</f>
        <v>-0.43463657127502364</v>
      </c>
      <c r="I59" s="32">
        <f>PRODUCT($AB22:AG22)-1</f>
        <v>-0.26024452505710072</v>
      </c>
      <c r="J59" s="32">
        <f>PRODUCT($AB22:AH22)-1</f>
        <v>-0.12656187021362364</v>
      </c>
      <c r="K59" s="32">
        <f>PRODUCT($AB22:AI22)-1</f>
        <v>9.9556630390971179E-2</v>
      </c>
      <c r="L59" s="32">
        <f>PRODUCT($AB22:AJ22)-1</f>
        <v>0.2645438667204083</v>
      </c>
      <c r="M59" s="32">
        <f>PRODUCT($AB22:AK22)-1</f>
        <v>0.37619239553943284</v>
      </c>
      <c r="N59" s="32">
        <f>PRODUCT($AB22:AL22)-1</f>
        <v>-1.2494961708988561E-2</v>
      </c>
      <c r="O59" s="32">
        <f>PRODUCT($AB22:AM22)-1</f>
        <v>-0.30605938465672455</v>
      </c>
      <c r="P59" s="32">
        <f>PRODUCT($AB22:AN22)-1</f>
        <v>-0.36947467419051472</v>
      </c>
      <c r="Q59" s="32">
        <f>PRODUCT($AB22:AO22)-1</f>
        <v>-0.25325809485422557</v>
      </c>
      <c r="R59" s="32">
        <f>PRODUCT($AB22:AP22)-1</f>
        <v>-0.26172242375386279</v>
      </c>
      <c r="S59" s="32">
        <f>PRODUCT($AB22:AQ22)-1</f>
        <v>-0.30619373908370295</v>
      </c>
      <c r="T59" s="32">
        <f>PRODUCT($AB22:AR22)-1</f>
        <v>-0.15813516055354049</v>
      </c>
      <c r="U59" s="32">
        <f>PRODUCT($AB22:AS22)-1</f>
        <v>-0.18352814725245215</v>
      </c>
      <c r="V59" s="32">
        <f>PRODUCT($AB22:AT22)-1</f>
        <v>-0.16458417304850226</v>
      </c>
      <c r="W59" s="32">
        <f>PRODUCT($AB22:AU22)-1</f>
        <v>2.1093645035603403E-2</v>
      </c>
      <c r="X59" s="32">
        <f>PRODUCT($AB22:AV22)-1</f>
        <v>0.14564019884455148</v>
      </c>
      <c r="Y59" s="32">
        <f>PRODUCT($AB22:AW22)-1</f>
        <v>0.19078328630928332</v>
      </c>
      <c r="Z59" s="32">
        <f>PRODUCT($AB22:AX22)-1</f>
        <v>0.37243047158403808</v>
      </c>
      <c r="AA59" s="121">
        <f>PRODUCT($AB22:AY22)-1</f>
        <v>8.8808276232701377E-2</v>
      </c>
      <c r="AB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row>
    <row r="60" spans="2:77">
      <c r="B60" s="12" t="s">
        <v>75</v>
      </c>
      <c r="C60" s="61">
        <v>0</v>
      </c>
      <c r="D60" s="32">
        <f>PRODUCT($AB23:AB23)-1</f>
        <v>-0.23450134770889486</v>
      </c>
      <c r="E60" s="32">
        <f>PRODUCT($AB23:AC23)-1</f>
        <v>-0.24663072776280315</v>
      </c>
      <c r="F60" s="32">
        <f>PRODUCT($AB23:AD23)-1</f>
        <v>-0.17924528301886788</v>
      </c>
      <c r="G60" s="32">
        <f>PRODUCT($AB23:AE23)-1</f>
        <v>-0.1361185983827492</v>
      </c>
      <c r="H60" s="32">
        <f>PRODUCT($AB23:AF23)-1</f>
        <v>-0.3153638814016172</v>
      </c>
      <c r="I60" s="32">
        <f>PRODUCT($AB23:AG23)-1</f>
        <v>-0.11590296495956875</v>
      </c>
      <c r="J60" s="32">
        <f>PRODUCT($AB23:AH23)-1</f>
        <v>-0.2318059299191374</v>
      </c>
      <c r="K60" s="32">
        <f>PRODUCT($AB23:AI23)-1</f>
        <v>-0.19541778975741242</v>
      </c>
      <c r="L60" s="32">
        <f>PRODUCT($AB23:AJ23)-1</f>
        <v>5.9299191374663218E-2</v>
      </c>
      <c r="M60" s="32">
        <f>PRODUCT($AB23:AK23)-1</f>
        <v>-0.11320754716981118</v>
      </c>
      <c r="N60" s="32">
        <f>PRODUCT($AB23:AL23)-1</f>
        <v>-0.12129380053908345</v>
      </c>
      <c r="O60" s="32">
        <f>PRODUCT($AB23:AM23)-1</f>
        <v>-0.3504043126684635</v>
      </c>
      <c r="P60" s="32">
        <f>PRODUCT($AB23:AN23)-1</f>
        <v>-0.41239892183288396</v>
      </c>
      <c r="Q60" s="32">
        <f>PRODUCT($AB23:AO23)-1</f>
        <v>-0.31940700808625333</v>
      </c>
      <c r="R60" s="32">
        <f>PRODUCT($AB23:AP23)-1</f>
        <v>-0.42991913746630717</v>
      </c>
      <c r="S60" s="32">
        <f>PRODUCT($AB23:AQ23)-1</f>
        <v>-0.40161725067385434</v>
      </c>
      <c r="T60" s="32">
        <f>PRODUCT($AB23:AR23)-1</f>
        <v>-0.27897574123989222</v>
      </c>
      <c r="U60" s="32">
        <f>PRODUCT($AB23:AS23)-1</f>
        <v>-0.33692722371967654</v>
      </c>
      <c r="V60" s="32">
        <f>PRODUCT($AB23:AT23)-1</f>
        <v>-0.4339622641509433</v>
      </c>
      <c r="W60" s="32">
        <f>PRODUCT($AB23:AU23)-1</f>
        <v>-0.38409703504043113</v>
      </c>
      <c r="X60" s="32">
        <f>PRODUCT($AB23:AV23)-1</f>
        <v>-0.38679245283018859</v>
      </c>
      <c r="Y60" s="32">
        <f>PRODUCT($AB23:AW23)-1</f>
        <v>-0.34366576819407002</v>
      </c>
      <c r="Z60" s="32">
        <f>PRODUCT($AB23:AX23)-1</f>
        <v>-0.25336927223719674</v>
      </c>
      <c r="AA60" s="121">
        <f>PRODUCT($AB23:AY23)-1</f>
        <v>-0.4043126684636118</v>
      </c>
      <c r="AB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row>
    <row r="61" spans="2:77">
      <c r="B61" s="12" t="s">
        <v>76</v>
      </c>
      <c r="C61" s="61">
        <v>0</v>
      </c>
      <c r="D61" s="32">
        <f>PRODUCT($AB24:AB24)-1</f>
        <v>6.9783670621070826E-4</v>
      </c>
      <c r="E61" s="32">
        <f>PRODUCT($AB24:AC24)-1</f>
        <v>-2.2563386834147492E-2</v>
      </c>
      <c r="F61" s="32">
        <f>PRODUCT($AB24:AD24)-1</f>
        <v>-6.0246568969527847E-2</v>
      </c>
      <c r="G61" s="32">
        <f>PRODUCT($AB24:AE24)-1</f>
        <v>-0.1270062805303559</v>
      </c>
      <c r="H61" s="32">
        <f>PRODUCT($AB24:AF24)-1</f>
        <v>-0.16003721795766457</v>
      </c>
      <c r="I61" s="32">
        <f>PRODUCT($AB24:AG24)-1</f>
        <v>5.1639916259595298E-2</v>
      </c>
      <c r="J61" s="32">
        <f>PRODUCT($AB24:AH24)-1</f>
        <v>0.11444521981856237</v>
      </c>
      <c r="K61" s="32">
        <f>PRODUCT($AB24:AI24)-1</f>
        <v>0.22354035822284257</v>
      </c>
      <c r="L61" s="32">
        <f>PRODUCT($AB24:AJ24)-1</f>
        <v>0.50616422423819496</v>
      </c>
      <c r="M61" s="32">
        <f>PRODUCT($AB24:AK24)-1</f>
        <v>0.70388462433123977</v>
      </c>
      <c r="N61" s="32">
        <f>PRODUCT($AB24:AL24)-1</f>
        <v>0.68132123749709228</v>
      </c>
      <c r="O61" s="32">
        <f>PRODUCT($AB24:AM24)-1</f>
        <v>0.14491742265643159</v>
      </c>
      <c r="P61" s="32">
        <f>PRODUCT($AB24:AN24)-1</f>
        <v>2.9774366131658514E-2</v>
      </c>
      <c r="Q61" s="32">
        <f>PRODUCT($AB24:AO24)-1</f>
        <v>0.18469411491044418</v>
      </c>
      <c r="R61" s="32">
        <f>PRODUCT($AB24:AP24)-1</f>
        <v>0.15096534077692469</v>
      </c>
      <c r="S61" s="32">
        <f>PRODUCT($AB24:AQ24)-1</f>
        <v>0.23191439869737152</v>
      </c>
      <c r="T61" s="32">
        <f>PRODUCT($AB24:AR24)-1</f>
        <v>0.46033961386368927</v>
      </c>
      <c r="U61" s="32">
        <f>PRODUCT($AB24:AS24)-1</f>
        <v>0.15794370783903244</v>
      </c>
      <c r="V61" s="32">
        <f>PRODUCT($AB24:AT24)-1</f>
        <v>-2.9309141660851412E-2</v>
      </c>
      <c r="W61" s="32">
        <f>PRODUCT($AB24:AU24)-1</f>
        <v>-3.0239590602464395E-3</v>
      </c>
      <c r="X61" s="32">
        <f>PRODUCT($AB24:AV24)-1</f>
        <v>0.17003954408001865</v>
      </c>
      <c r="Y61" s="32">
        <f>PRODUCT($AB24:AW24)-1</f>
        <v>0.18236799255640834</v>
      </c>
      <c r="Z61" s="32">
        <f>PRODUCT($AB24:AX24)-1</f>
        <v>0.20027913468248437</v>
      </c>
      <c r="AA61" s="121">
        <f>PRODUCT($AB24:AY24)-1</f>
        <v>-0.14445219818562449</v>
      </c>
      <c r="AB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row>
    <row r="62" spans="2:77">
      <c r="B62" s="12" t="s">
        <v>74</v>
      </c>
      <c r="C62" s="61">
        <v>0</v>
      </c>
      <c r="D62" s="128">
        <f>PRODUCT($AB25:AB25)-1</f>
        <v>7.4770258980785265E-2</v>
      </c>
      <c r="E62" s="32">
        <f>PRODUCT($AB25:AC25)-1</f>
        <v>0.10672514619883056</v>
      </c>
      <c r="F62" s="32">
        <f>PRODUCT($AB25:AD25)-1</f>
        <v>1.6290726817042689E-2</v>
      </c>
      <c r="G62" s="32">
        <f>PRODUCT($AB25:AE25)-1</f>
        <v>-5.1378446115288079E-2</v>
      </c>
      <c r="H62" s="32">
        <f>PRODUCT($AB25:AF25)-1</f>
        <v>-8.0200501253132717E-2</v>
      </c>
      <c r="I62" s="32">
        <f>PRODUCT($AB25:AG25)-1</f>
        <v>0.19172932330827086</v>
      </c>
      <c r="J62" s="32">
        <f>PRODUCT($AB25:AH25)-1</f>
        <v>0.63450292397660846</v>
      </c>
      <c r="K62" s="32">
        <f>PRODUCT($AB25:AI25)-1</f>
        <v>1.0223475355054301</v>
      </c>
      <c r="L62" s="32">
        <f>PRODUCT($AB25:AJ25)-1</f>
        <v>1.0279866332497911</v>
      </c>
      <c r="M62" s="32">
        <f>PRODUCT($AB25:AK25)-1</f>
        <v>1.2105263157894739</v>
      </c>
      <c r="N62" s="32">
        <f>PRODUCT($AB25:AL25)-1</f>
        <v>0.95927318295739372</v>
      </c>
      <c r="O62" s="32">
        <f>PRODUCT($AB25:AM25)-1</f>
        <v>0.44214703425229751</v>
      </c>
      <c r="P62" s="32">
        <f>PRODUCT($AB25:AN25)-1</f>
        <v>0.43734335839599003</v>
      </c>
      <c r="Q62" s="32">
        <f>PRODUCT($AB25:AO25)-1</f>
        <v>0.65914786967418548</v>
      </c>
      <c r="R62" s="32">
        <f>PRODUCT($AB25:AP25)-1</f>
        <v>0.66311612364243966</v>
      </c>
      <c r="S62" s="32">
        <f>PRODUCT($AB25:AQ25)-1</f>
        <v>0.84440267335004227</v>
      </c>
      <c r="T62" s="32">
        <f>PRODUCT($AB25:AR25)-1</f>
        <v>1.1929824561403515</v>
      </c>
      <c r="U62" s="32">
        <f>PRODUCT($AB25:AS25)-1</f>
        <v>1.0154553049289894</v>
      </c>
      <c r="V62" s="32">
        <f>PRODUCT($AB25:AT25)-1</f>
        <v>0.96407685881370142</v>
      </c>
      <c r="W62" s="32">
        <f>PRODUCT($AB25:AU25)-1</f>
        <v>1.1294903926482878</v>
      </c>
      <c r="X62" s="32">
        <f>PRODUCT($AB25:AV25)-1</f>
        <v>1.3354218880534678</v>
      </c>
      <c r="Y62" s="32">
        <f>PRODUCT($AB25:AW25)-1</f>
        <v>1.1370091896407692</v>
      </c>
      <c r="Z62" s="32">
        <f>PRODUCT($AB25:AX25)-1</f>
        <v>1.2201336675020893</v>
      </c>
      <c r="AA62" s="121">
        <f>PRODUCT($AB25:AY25)-1</f>
        <v>0.92293233082706805</v>
      </c>
      <c r="AB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row>
    <row r="63" spans="2:77">
      <c r="B63" s="19" t="s">
        <v>73</v>
      </c>
      <c r="C63" s="62">
        <v>0</v>
      </c>
      <c r="D63" s="122">
        <f>PRODUCT($AB26:AB26)-1</f>
        <v>4.5863694813544909E-2</v>
      </c>
      <c r="E63" s="123">
        <f>PRODUCT($AB26:AC26)-1</f>
        <v>6.5795113587655552E-2</v>
      </c>
      <c r="F63" s="123">
        <f>PRODUCT($AB26:AD26)-1</f>
        <v>-7.0724389198455473E-3</v>
      </c>
      <c r="G63" s="123">
        <f>PRODUCT($AB26:AE26)-1</f>
        <v>-9.9657093870552882E-2</v>
      </c>
      <c r="H63" s="123">
        <f>PRODUCT($AB26:AF26)-1</f>
        <v>-0.10758679811401617</v>
      </c>
      <c r="I63" s="123">
        <f>PRODUCT($AB26:AG26)-1</f>
        <v>6.6652378911273402E-2</v>
      </c>
      <c r="J63" s="123">
        <f>PRODUCT($AB26:AH26)-1</f>
        <v>0.2016716673810548</v>
      </c>
      <c r="K63" s="123">
        <f>PRODUCT($AB26:AI26)-1</f>
        <v>0.34440634376339507</v>
      </c>
      <c r="L63" s="123">
        <f>PRODUCT($AB26:AJ26)-1</f>
        <v>0.2743249035576516</v>
      </c>
      <c r="M63" s="123">
        <f>PRODUCT($AB26:AK26)-1</f>
        <v>0.4170595799399921</v>
      </c>
      <c r="N63" s="123">
        <f>PRODUCT($AB26:AL26)-1</f>
        <v>0.26639519931418842</v>
      </c>
      <c r="O63" s="123">
        <f>PRODUCT($AB26:AM26)-1</f>
        <v>-7.9297042434632981E-2</v>
      </c>
      <c r="P63" s="123">
        <f>PRODUCT($AB26:AN26)-1</f>
        <v>-0.12087441063008952</v>
      </c>
      <c r="Q63" s="123">
        <f>PRODUCT($AB26:AO26)-1</f>
        <v>2.1860265752250863E-2</v>
      </c>
      <c r="R63" s="123">
        <f>PRODUCT($AB26:AP26)-1</f>
        <v>4.1577368195456987E-2</v>
      </c>
      <c r="S63" s="123">
        <f>PRODUCT($AB26:AQ26)-1</f>
        <v>0.12687526789541415</v>
      </c>
      <c r="T63" s="123">
        <f>PRODUCT($AB26:AR26)-1</f>
        <v>0.31290184312044644</v>
      </c>
      <c r="U63" s="123">
        <f>PRODUCT($AB26:AS26)-1</f>
        <v>0.20595799399914339</v>
      </c>
      <c r="V63" s="123">
        <f>PRODUCT($AB26:AT26)-1</f>
        <v>0.21945992284612137</v>
      </c>
      <c r="W63" s="123">
        <f>PRODUCT($AB26:AU26)-1</f>
        <v>0.36648092584655001</v>
      </c>
      <c r="X63" s="123">
        <f>PRODUCT($AB26:AV26)-1</f>
        <v>0.47942563223317691</v>
      </c>
      <c r="Y63" s="123">
        <f>PRODUCT($AB26:AW26)-1</f>
        <v>0.40462923274753626</v>
      </c>
      <c r="Z63" s="123">
        <f>PRODUCT($AB26:AX26)-1</f>
        <v>0.40055722246035197</v>
      </c>
      <c r="AA63" s="124">
        <f>PRODUCT($AB26:AY26)-1</f>
        <v>0.42091727389627143</v>
      </c>
      <c r="AB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row>
    <row r="64" spans="2:77">
      <c r="B64" s="7" t="s">
        <v>86</v>
      </c>
      <c r="C64" s="1">
        <v>0</v>
      </c>
      <c r="D64" s="128">
        <f>PRODUCT($AB27:AB27)-1</f>
        <v>-2.4848351434602511E-2</v>
      </c>
      <c r="E64" s="32">
        <f>PRODUCT($AB27:AC27)-1</f>
        <v>-1.8884998073183445E-2</v>
      </c>
      <c r="F64" s="128">
        <f>PRODUCT($AB27:AD27)-1</f>
        <v>-4.9061820744885853E-2</v>
      </c>
      <c r="G64" s="32">
        <f>PRODUCT($AB27:AE27)-1</f>
        <v>-0.110486221823903</v>
      </c>
      <c r="H64" s="128">
        <f>PRODUCT($AB27:AF27)-1</f>
        <v>-0.11641642452918477</v>
      </c>
      <c r="I64" s="32">
        <f>PRODUCT($AB27:AG27)-1</f>
        <v>9.9605695429132446E-3</v>
      </c>
      <c r="J64" s="128">
        <f>PRODUCT($AB27:AH27)-1</f>
        <v>0.15826719324270422</v>
      </c>
      <c r="K64" s="32">
        <f>PRODUCT($AB27:AI27)-1</f>
        <v>0.3008664661243694</v>
      </c>
      <c r="L64" s="128">
        <f>PRODUCT($AB27:AJ27)-1</f>
        <v>0.33169678548440484</v>
      </c>
      <c r="M64" s="32">
        <f>PRODUCT($AB27:AK27)-1</f>
        <v>0.40727358860035734</v>
      </c>
      <c r="N64" s="128">
        <f>PRODUCT($AB27:AL27)-1</f>
        <v>0.27656609398995324</v>
      </c>
      <c r="O64" s="32">
        <f>PRODUCT($AB27:AM27)-1</f>
        <v>1.5312256696929261E-2</v>
      </c>
      <c r="P64" s="128">
        <f>PRODUCT($AB27:AN27)-1</f>
        <v>-7.0424229051164411E-2</v>
      </c>
      <c r="Q64" s="32">
        <f>PRODUCT($AB27:AO27)-1</f>
        <v>8.2341314763388684E-2</v>
      </c>
      <c r="R64" s="128">
        <f>PRODUCT($AB27:AP27)-1</f>
        <v>7.6948424585656205E-2</v>
      </c>
      <c r="S64" s="32">
        <f>PRODUCT($AB27:AQ27)-1</f>
        <v>0.11953687383038059</v>
      </c>
      <c r="T64" s="128">
        <f>PRODUCT($AB27:AR27)-1</f>
        <v>0.28502348520063725</v>
      </c>
      <c r="U64" s="32">
        <f>PRODUCT($AB27:AS27)-1</f>
        <v>0.18929380213450475</v>
      </c>
      <c r="V64" s="128">
        <f>PRODUCT($AB27:AT27)-1</f>
        <v>0.16085514052165739</v>
      </c>
      <c r="W64" s="32">
        <f>PRODUCT($AB27:AU27)-1</f>
        <v>0.27021884138979679</v>
      </c>
      <c r="X64" s="128">
        <f>PRODUCT($AB27:AV27)-1</f>
        <v>0.40400181753439623</v>
      </c>
      <c r="Y64" s="32">
        <f>PRODUCT($AB27:AW27)-1</f>
        <v>0.39732765972576978</v>
      </c>
      <c r="Z64" s="128">
        <f>PRODUCT($AB27:AX27)-1</f>
        <v>0.39363643351228061</v>
      </c>
      <c r="AA64" s="32">
        <f>PRODUCT($AB27:AY27)-1</f>
        <v>0.22671074902182031</v>
      </c>
      <c r="AB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row>
    <row r="65" spans="2:90" ht="17.25" thickBot="1">
      <c r="B65" s="131" t="s">
        <v>88</v>
      </c>
      <c r="C65" s="1">
        <v>0</v>
      </c>
      <c r="D65" s="122">
        <f>PRODUCT($AB28:AB28)-1</f>
        <v>-4.1615042774082567E-2</v>
      </c>
      <c r="E65" s="123">
        <f>PRODUCT($AB28:AC28)-1</f>
        <v>4.4077764138286124E-3</v>
      </c>
      <c r="F65" s="122">
        <f>PRODUCT($AB28:AD28)-1</f>
        <v>3.9230351994061996E-2</v>
      </c>
      <c r="G65" s="123">
        <f>PRODUCT($AB28:AE28)-1</f>
        <v>5.0995841540818487E-2</v>
      </c>
      <c r="H65" s="122">
        <f>PRODUCT($AB28:AF28)-1</f>
        <v>7.4995004139427168E-2</v>
      </c>
      <c r="I65" s="123">
        <f>PRODUCT($AB28:AG28)-1</f>
        <v>9.670653839199872E-2</v>
      </c>
      <c r="J65" s="122">
        <f>PRODUCT($AB28:AH28)-1</f>
        <v>8.585267445069289E-2</v>
      </c>
      <c r="K65" s="123">
        <f>PRODUCT($AB28:AI28)-1</f>
        <v>0.1480735010039298</v>
      </c>
      <c r="L65" s="122">
        <f>PRODUCT($AB28:AJ28)-1</f>
        <v>0.11938298742946296</v>
      </c>
      <c r="M65" s="123">
        <f>PRODUCT($AB28:AK28)-1</f>
        <v>0.14962459676268214</v>
      </c>
      <c r="N65" s="122">
        <f>PRODUCT($AB28:AL28)-1</f>
        <v>0.13325149637919043</v>
      </c>
      <c r="O65" s="123">
        <f>PRODUCT($AB28:AM28)-1</f>
        <v>6.8038863037292785E-2</v>
      </c>
      <c r="P65" s="122">
        <f>PRODUCT($AB28:AN28)-1</f>
        <v>5.9895134507598424E-2</v>
      </c>
      <c r="Q65" s="123">
        <f>PRODUCT($AB28:AO28)-1</f>
        <v>0.12510396147953573</v>
      </c>
      <c r="R65" s="122">
        <f>PRODUCT($AB28:AP28)-1</f>
        <v>0.18091676420489677</v>
      </c>
      <c r="S65" s="123">
        <f>PRODUCT($AB28:AQ28)-1</f>
        <v>0.20650318307687909</v>
      </c>
      <c r="T65" s="122">
        <f>PRODUCT($AB28:AR28)-1</f>
        <v>0.22950697993091418</v>
      </c>
      <c r="U65" s="123">
        <f>PRODUCT($AB28:AS28)-1</f>
        <v>0.27293766117597773</v>
      </c>
      <c r="V65" s="122">
        <f>PRODUCT($AB28:AT28)-1</f>
        <v>0.30181659006347084</v>
      </c>
      <c r="W65" s="123">
        <f>PRODUCT($AB28:AU28)-1</f>
        <v>0.30350852151074781</v>
      </c>
      <c r="X65" s="122">
        <f>PRODUCT($AB28:AV28)-1</f>
        <v>0.30282527810290483</v>
      </c>
      <c r="Y65" s="123">
        <f>PRODUCT($AB28:AW28)-1</f>
        <v>0.32062576722144454</v>
      </c>
      <c r="Z65" s="122">
        <f>PRODUCT($AB28:AX28)-1</f>
        <v>0.30917810956635883</v>
      </c>
      <c r="AA65" s="123">
        <f>PRODUCT($AB28:AY28)-1</f>
        <v>0.24249812060483178</v>
      </c>
      <c r="AB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row>
    <row r="66" spans="2:90">
      <c r="B66" s="232" t="s">
        <v>80</v>
      </c>
      <c r="D66" s="32"/>
      <c r="E66" s="32"/>
      <c r="F66" s="32"/>
      <c r="G66" s="32"/>
      <c r="H66" s="32"/>
      <c r="I66" s="32"/>
      <c r="J66" s="32"/>
      <c r="K66" s="32"/>
      <c r="L66" s="32"/>
      <c r="M66" s="32"/>
      <c r="N66" s="32"/>
      <c r="O66" s="32"/>
      <c r="P66" s="32"/>
      <c r="Q66" s="32"/>
      <c r="R66" s="32"/>
      <c r="S66" s="32"/>
      <c r="T66" s="32"/>
      <c r="U66" s="32"/>
      <c r="V66" s="32"/>
      <c r="W66" s="32"/>
      <c r="X66" s="32"/>
      <c r="Y66" s="32"/>
      <c r="Z66" s="32"/>
      <c r="AA66" s="32"/>
      <c r="AB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row>
    <row r="67" spans="2:90" ht="17.25" thickBot="1">
      <c r="B67" s="233"/>
      <c r="C67" s="33" t="s">
        <v>3</v>
      </c>
      <c r="D67" s="34" t="s">
        <v>4</v>
      </c>
      <c r="E67" s="34" t="s">
        <v>5</v>
      </c>
      <c r="F67" s="34" t="s">
        <v>6</v>
      </c>
      <c r="G67" s="34" t="s">
        <v>7</v>
      </c>
      <c r="H67" s="34" t="s">
        <v>8</v>
      </c>
      <c r="I67" s="34" t="s">
        <v>9</v>
      </c>
      <c r="J67" s="34" t="s">
        <v>10</v>
      </c>
      <c r="K67" s="34" t="s">
        <v>11</v>
      </c>
      <c r="L67" s="34" t="s">
        <v>12</v>
      </c>
      <c r="M67" s="34" t="s">
        <v>13</v>
      </c>
      <c r="N67" s="34" t="s">
        <v>14</v>
      </c>
      <c r="O67" s="34" t="s">
        <v>15</v>
      </c>
      <c r="P67" s="34" t="s">
        <v>16</v>
      </c>
      <c r="Q67" s="34" t="s">
        <v>17</v>
      </c>
      <c r="R67" s="34" t="s">
        <v>18</v>
      </c>
      <c r="S67" s="34" t="s">
        <v>19</v>
      </c>
      <c r="T67" s="34" t="s">
        <v>20</v>
      </c>
      <c r="U67" s="34" t="s">
        <v>21</v>
      </c>
      <c r="V67" s="34" t="s">
        <v>22</v>
      </c>
      <c r="W67" s="34" t="s">
        <v>23</v>
      </c>
      <c r="X67" s="34" t="s">
        <v>24</v>
      </c>
      <c r="Y67" s="34" t="s">
        <v>25</v>
      </c>
      <c r="Z67" s="34" t="s">
        <v>26</v>
      </c>
      <c r="AA67" s="35" t="s">
        <v>27</v>
      </c>
      <c r="AB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row>
    <row r="68" spans="2:90">
      <c r="B68" s="9" t="s">
        <v>69</v>
      </c>
      <c r="C68" s="60">
        <v>0</v>
      </c>
      <c r="D68" s="129">
        <v>-5.6872037914692086E-2</v>
      </c>
      <c r="E68" s="125">
        <v>8.1516587677725072E-2</v>
      </c>
      <c r="F68" s="125">
        <v>6.3507109004739437E-2</v>
      </c>
      <c r="G68" s="125">
        <v>8.9099526066350743E-2</v>
      </c>
      <c r="H68" s="125">
        <v>0.26729857819905201</v>
      </c>
      <c r="I68" s="125">
        <v>6.5402843601895633E-2</v>
      </c>
      <c r="J68" s="125">
        <v>0.24454976303317544</v>
      </c>
      <c r="K68" s="125">
        <v>0.33175355450236976</v>
      </c>
      <c r="L68" s="125">
        <v>0.45308056872037894</v>
      </c>
      <c r="M68" s="125">
        <v>0.26066350710900466</v>
      </c>
      <c r="N68" s="125">
        <v>0.23886255924170596</v>
      </c>
      <c r="O68" s="125">
        <v>1.8009478672985635E-2</v>
      </c>
      <c r="P68" s="125">
        <v>0.10995260663507089</v>
      </c>
      <c r="Q68" s="125">
        <v>0.38767772511848309</v>
      </c>
      <c r="R68" s="104"/>
      <c r="S68" s="104"/>
      <c r="T68" s="104"/>
      <c r="U68" s="104"/>
      <c r="V68" s="104"/>
      <c r="W68" s="104"/>
      <c r="X68" s="104"/>
      <c r="Y68" s="104"/>
      <c r="Z68" s="104"/>
      <c r="AA68" s="101"/>
      <c r="AB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row>
    <row r="69" spans="2:90">
      <c r="B69" s="12" t="s">
        <v>70</v>
      </c>
      <c r="C69" s="61">
        <v>0</v>
      </c>
      <c r="D69" s="128">
        <v>-0.16228606356968212</v>
      </c>
      <c r="E69" s="32">
        <v>0</v>
      </c>
      <c r="F69" s="32">
        <v>-2.8117359413202925E-2</v>
      </c>
      <c r="G69" s="32">
        <v>-6.8154034229828908E-2</v>
      </c>
      <c r="H69" s="32">
        <v>-8.8630806845966248E-3</v>
      </c>
      <c r="I69" s="32">
        <v>-3.8508557457212711E-2</v>
      </c>
      <c r="J69" s="32">
        <v>-8.1907090464547694E-2</v>
      </c>
      <c r="K69" s="32">
        <v>5.4706601466992577E-2</v>
      </c>
      <c r="L69" s="32">
        <v>0.2521393643031784</v>
      </c>
      <c r="M69" s="32">
        <v>0.44621026894865534</v>
      </c>
      <c r="N69" s="32">
        <v>0.49908312958435208</v>
      </c>
      <c r="O69" s="32">
        <v>0.14333740831295838</v>
      </c>
      <c r="P69" s="32">
        <v>0.15892420537897323</v>
      </c>
      <c r="Q69" s="32">
        <v>0.3126528117359415</v>
      </c>
      <c r="R69" s="100"/>
      <c r="S69" s="100"/>
      <c r="T69" s="100"/>
      <c r="U69" s="100"/>
      <c r="V69" s="100"/>
      <c r="W69" s="100"/>
      <c r="X69" s="100"/>
      <c r="Y69" s="100"/>
      <c r="Z69" s="100"/>
      <c r="AA69" s="55"/>
      <c r="AB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row>
    <row r="70" spans="2:90">
      <c r="B70" s="12" t="s">
        <v>71</v>
      </c>
      <c r="C70" s="61">
        <v>0</v>
      </c>
      <c r="D70" s="128">
        <v>-0.31336405529953915</v>
      </c>
      <c r="E70" s="32">
        <v>-7.373271889400923E-2</v>
      </c>
      <c r="F70" s="32">
        <v>-0.17050691244239624</v>
      </c>
      <c r="G70" s="32">
        <v>9.2165898617511122E-3</v>
      </c>
      <c r="H70" s="32">
        <v>0.12903225806451624</v>
      </c>
      <c r="I70" s="32">
        <v>1.7281105990783363E-2</v>
      </c>
      <c r="J70" s="32">
        <v>-0.1105990783410139</v>
      </c>
      <c r="K70" s="32">
        <v>5.0691244239631228E-2</v>
      </c>
      <c r="L70" s="32">
        <v>8.5253456221198176E-2</v>
      </c>
      <c r="M70" s="32">
        <v>6.9124423963133452E-2</v>
      </c>
      <c r="N70" s="32">
        <v>2.3041474654377891E-2</v>
      </c>
      <c r="O70" s="32">
        <v>-0.18663594470046097</v>
      </c>
      <c r="P70" s="32">
        <v>-0.16359447004608307</v>
      </c>
      <c r="Q70" s="32">
        <v>0.39400921658986165</v>
      </c>
      <c r="R70" s="100"/>
      <c r="S70" s="100"/>
      <c r="T70" s="100"/>
      <c r="U70" s="100"/>
      <c r="V70" s="100"/>
      <c r="W70" s="100"/>
      <c r="X70" s="100"/>
      <c r="Y70" s="100"/>
      <c r="Z70" s="100"/>
      <c r="AA70" s="55"/>
      <c r="AB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row>
    <row r="71" spans="2:90">
      <c r="B71" s="12" t="s">
        <v>72</v>
      </c>
      <c r="C71" s="61">
        <v>0</v>
      </c>
      <c r="D71" s="128">
        <v>-9.1384317521781222E-2</v>
      </c>
      <c r="E71" s="32">
        <v>7.6089060987415413E-2</v>
      </c>
      <c r="F71" s="32">
        <v>6.3891577928364196E-2</v>
      </c>
      <c r="G71" s="32">
        <v>-1.9361084220703706E-4</v>
      </c>
      <c r="H71" s="32">
        <v>0.21316553727008714</v>
      </c>
      <c r="I71" s="32">
        <v>0.17657308809293326</v>
      </c>
      <c r="J71" s="32">
        <v>0.20387221684414314</v>
      </c>
      <c r="K71" s="32">
        <v>0.4714424007744431</v>
      </c>
      <c r="L71" s="32">
        <v>0.65091965150048381</v>
      </c>
      <c r="M71" s="32">
        <v>0.71597289448209067</v>
      </c>
      <c r="N71" s="32">
        <v>0.97773475314617597</v>
      </c>
      <c r="O71" s="32">
        <v>0.56902226524685373</v>
      </c>
      <c r="P71" s="32">
        <v>0.46447241045498533</v>
      </c>
      <c r="Q71" s="32">
        <v>0.77366892545982546</v>
      </c>
      <c r="R71" s="100"/>
      <c r="S71" s="100"/>
      <c r="T71" s="100"/>
      <c r="U71" s="100"/>
      <c r="V71" s="100"/>
      <c r="W71" s="100"/>
      <c r="X71" s="105"/>
      <c r="Y71" s="100"/>
      <c r="Z71" s="100"/>
      <c r="AA71" s="55"/>
      <c r="AB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row>
    <row r="72" spans="2:90">
      <c r="B72" s="12" t="s">
        <v>75</v>
      </c>
      <c r="C72" s="61">
        <v>0</v>
      </c>
      <c r="D72" s="128">
        <v>-9.5435684647302899E-2</v>
      </c>
      <c r="E72" s="32">
        <v>4.7717842323651283E-2</v>
      </c>
      <c r="F72" s="32">
        <v>-0.12240663900414939</v>
      </c>
      <c r="G72" s="32">
        <v>-7.8838174273858974E-2</v>
      </c>
      <c r="H72" s="32">
        <v>0.10995850622406622</v>
      </c>
      <c r="I72" s="32">
        <v>2.0746887966804906E-2</v>
      </c>
      <c r="J72" s="32">
        <v>-0.12863070539419086</v>
      </c>
      <c r="K72" s="32">
        <v>-5.1867219917012375E-2</v>
      </c>
      <c r="L72" s="32">
        <v>-5.6016597510373467E-2</v>
      </c>
      <c r="M72" s="32">
        <v>1.0373443983402453E-2</v>
      </c>
      <c r="N72" s="32">
        <v>0.14937759336099576</v>
      </c>
      <c r="O72" s="32">
        <v>-8.2987551867219955E-2</v>
      </c>
      <c r="P72" s="32">
        <v>-3.319502074688796E-2</v>
      </c>
      <c r="Q72" s="32">
        <v>0.13278008298755184</v>
      </c>
      <c r="R72" s="100"/>
      <c r="S72" s="100"/>
      <c r="T72" s="100"/>
      <c r="U72" s="100"/>
      <c r="V72" s="100"/>
      <c r="W72" s="100"/>
      <c r="X72" s="100"/>
      <c r="Y72" s="100"/>
      <c r="Z72" s="100"/>
      <c r="AA72" s="55"/>
      <c r="AB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row>
    <row r="73" spans="2:90">
      <c r="B73" s="12" t="s">
        <v>76</v>
      </c>
      <c r="C73" s="61">
        <v>0</v>
      </c>
      <c r="D73" s="128">
        <v>-0.10056887444128393</v>
      </c>
      <c r="E73" s="32">
        <v>3.474197480698904E-2</v>
      </c>
      <c r="F73" s="32">
        <v>5.2824055262088443E-3</v>
      </c>
      <c r="G73" s="32">
        <v>7.5985371800081358E-2</v>
      </c>
      <c r="H73" s="32">
        <v>0.27549776513612367</v>
      </c>
      <c r="I73" s="32">
        <v>1.1377488825680793E-2</v>
      </c>
      <c r="J73" s="32">
        <v>-0.15217391304347827</v>
      </c>
      <c r="K73" s="32">
        <v>-0.12921576594880113</v>
      </c>
      <c r="L73" s="32">
        <v>2.1942299878098481E-2</v>
      </c>
      <c r="M73" s="32">
        <v>3.2710280373831946E-2</v>
      </c>
      <c r="N73" s="32">
        <v>4.8354327509142925E-2</v>
      </c>
      <c r="O73" s="32">
        <v>-0.25274278748476209</v>
      </c>
      <c r="P73" s="32">
        <v>-0.20540430719219804</v>
      </c>
      <c r="Q73" s="32">
        <v>-6.5014221861031785E-2</v>
      </c>
      <c r="R73" s="100"/>
      <c r="S73" s="100"/>
      <c r="T73" s="100"/>
      <c r="U73" s="100"/>
      <c r="V73" s="100"/>
      <c r="W73" s="100"/>
      <c r="X73" s="100"/>
      <c r="Y73" s="100"/>
      <c r="Z73" s="100"/>
      <c r="AA73" s="55"/>
      <c r="AB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row>
    <row r="74" spans="2:90">
      <c r="B74" s="12" t="s">
        <v>74</v>
      </c>
      <c r="C74" s="61">
        <v>0</v>
      </c>
      <c r="D74" s="128">
        <v>-3.3309196234613259E-3</v>
      </c>
      <c r="E74" s="32">
        <v>0.15047067342505427</v>
      </c>
      <c r="F74" s="32">
        <v>0.1532223026792181</v>
      </c>
      <c r="G74" s="32">
        <v>0.27892831281679986</v>
      </c>
      <c r="H74" s="32">
        <v>0.52063721940622787</v>
      </c>
      <c r="I74" s="32">
        <v>0.39753801593048554</v>
      </c>
      <c r="J74" s="32">
        <v>0.36191165821868254</v>
      </c>
      <c r="K74" s="32">
        <v>0.47661115133960918</v>
      </c>
      <c r="L74" s="32">
        <v>0.61940622737147022</v>
      </c>
      <c r="M74" s="32">
        <v>0.48182476466328783</v>
      </c>
      <c r="N74" s="32">
        <v>0.53946415640839995</v>
      </c>
      <c r="O74" s="32">
        <v>0.33338160753077495</v>
      </c>
      <c r="P74" s="32">
        <v>0.30340333091962357</v>
      </c>
      <c r="Q74" s="32">
        <v>0.63099203475742249</v>
      </c>
      <c r="R74" s="100"/>
      <c r="S74" s="100"/>
      <c r="T74" s="100"/>
      <c r="U74" s="100"/>
      <c r="V74" s="100"/>
      <c r="W74" s="100"/>
      <c r="X74" s="100"/>
      <c r="Y74" s="100"/>
      <c r="Z74" s="100"/>
      <c r="AA74" s="55"/>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row>
    <row r="75" spans="2:90">
      <c r="B75" s="19" t="s">
        <v>73</v>
      </c>
      <c r="C75" s="62">
        <v>0</v>
      </c>
      <c r="D75" s="122">
        <v>-4.5158286778398504E-2</v>
      </c>
      <c r="E75" s="123">
        <v>0.10986964618249528</v>
      </c>
      <c r="F75" s="123">
        <v>0.13128491620111715</v>
      </c>
      <c r="G75" s="123">
        <v>0.22392923649906882</v>
      </c>
      <c r="H75" s="123">
        <v>0.42597765363128492</v>
      </c>
      <c r="I75" s="123">
        <v>0.30982309124767227</v>
      </c>
      <c r="J75" s="123">
        <v>0.32448789571694592</v>
      </c>
      <c r="K75" s="123">
        <v>0.48417132216014891</v>
      </c>
      <c r="L75" s="123">
        <v>0.60684357541899447</v>
      </c>
      <c r="M75" s="123">
        <v>0.52560521415270034</v>
      </c>
      <c r="N75" s="123">
        <v>0.52118249534450634</v>
      </c>
      <c r="O75" s="123">
        <v>0.54329608938547458</v>
      </c>
      <c r="P75" s="123">
        <v>0.57844506517690863</v>
      </c>
      <c r="Q75" s="123">
        <v>0.89897579143389184</v>
      </c>
      <c r="R75" s="102"/>
      <c r="S75" s="102"/>
      <c r="T75" s="102"/>
      <c r="U75" s="102"/>
      <c r="V75" s="102"/>
      <c r="W75" s="102"/>
      <c r="X75" s="102"/>
      <c r="Y75" s="102"/>
      <c r="Z75" s="102"/>
      <c r="AA75" s="103"/>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row>
    <row r="76" spans="2:90">
      <c r="B76" s="7" t="s">
        <v>86</v>
      </c>
      <c r="D76" s="128">
        <f>PRODUCT($AN27:AN27)-1</f>
        <v>-8.44434657245412E-2</v>
      </c>
      <c r="E76" s="128">
        <f>PRODUCT($AN27:AO27)-1</f>
        <v>6.6018170887173211E-2</v>
      </c>
      <c r="F76" s="128">
        <f>PRODUCT($AN27:AP27)-1</f>
        <v>6.0706612652589476E-2</v>
      </c>
      <c r="G76" s="128">
        <f>PRODUCT($AN27:AQ27)-1</f>
        <v>0.1026527715449046</v>
      </c>
      <c r="H76" s="128">
        <f>PRODUCT($AN27:AR27)-1</f>
        <v>0.2656436251258778</v>
      </c>
      <c r="I76" s="128">
        <f>PRODUCT($AN27:AS27)-1</f>
        <v>0.17135767276520641</v>
      </c>
      <c r="J76" s="128">
        <f>PRODUCT($AN27:AT27)-1</f>
        <v>0.1433479039228942</v>
      </c>
      <c r="K76" s="128">
        <f>PRODUCT($AN27:AU27)-1</f>
        <v>0.25106225499743706</v>
      </c>
      <c r="L76" s="128">
        <f>PRODUCT($AN27:AV27)-1</f>
        <v>0.3828276062597471</v>
      </c>
      <c r="M76" s="128">
        <f>PRODUCT($AN27:AW27)-1</f>
        <v>0.37625410361107492</v>
      </c>
      <c r="N76" s="128">
        <f>PRODUCT($AN27:AX27)-1</f>
        <v>0.37261854598912936</v>
      </c>
      <c r="O76" s="128">
        <f>PRODUCT($AN27:AY27)-1</f>
        <v>0.20821032242102988</v>
      </c>
      <c r="P76" s="128">
        <f>PRODUCT($AN27:AZ27)-1</f>
        <v>0.21988413224378212</v>
      </c>
      <c r="Q76" s="128">
        <f>PRODUCT($AN27:BA27)-1</f>
        <v>0.42359195400227034</v>
      </c>
      <c r="R76" s="32"/>
      <c r="S76" s="32"/>
      <c r="T76" s="32"/>
      <c r="U76" s="32"/>
      <c r="V76" s="32"/>
      <c r="W76" s="32"/>
      <c r="X76" s="32"/>
      <c r="Y76" s="32"/>
      <c r="Z76" s="32"/>
      <c r="AA76" s="32"/>
      <c r="AB76" s="32"/>
      <c r="AC76" s="32"/>
      <c r="AD76" s="32"/>
      <c r="AE76" s="32"/>
      <c r="AF76" s="32"/>
      <c r="AG76" s="32"/>
      <c r="AH76" s="32"/>
      <c r="AI76" s="32"/>
      <c r="AJ76" s="32"/>
      <c r="AK76" s="32"/>
      <c r="AL76" s="32"/>
      <c r="AM76" s="32"/>
      <c r="AN76" s="32"/>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row>
    <row r="77" spans="2:90">
      <c r="B77" s="131" t="s">
        <v>88</v>
      </c>
      <c r="D77" s="128">
        <f>PRODUCT($AN28:AN28)-1</f>
        <v>-7.6249365182604611E-3</v>
      </c>
      <c r="E77" s="128">
        <f>PRODUCT($AN28:AO28)-1</f>
        <v>5.3429795878364272E-2</v>
      </c>
      <c r="F77" s="128">
        <f>PRODUCT($AN28:AP28)-1</f>
        <v>0.10568707289040136</v>
      </c>
      <c r="G77" s="128">
        <f>PRODUCT($AN28:AQ28)-1</f>
        <v>0.12964352218965214</v>
      </c>
      <c r="H77" s="128">
        <f>PRODUCT($AN28:AR28)-1</f>
        <v>0.15118187407004813</v>
      </c>
      <c r="I77" s="128">
        <f>PRODUCT($AN28:AS28)-1</f>
        <v>0.19184582624268276</v>
      </c>
      <c r="J77" s="128">
        <f>PRODUCT($AN28:AT28)-1</f>
        <v>0.21888503791084912</v>
      </c>
      <c r="K77" s="128">
        <f>PRODUCT($AN28:AU28)-1</f>
        <v>0.22046918574088736</v>
      </c>
      <c r="L77" s="128">
        <f>PRODUCT($AN28:AV28)-1</f>
        <v>0.21982946800074821</v>
      </c>
      <c r="M77" s="128">
        <f>PRODUCT($AN28:AW28)-1</f>
        <v>0.23649598617211764</v>
      </c>
      <c r="N77" s="128">
        <f>PRODUCT($AN28:AX28)-1</f>
        <v>0.22577759562354638</v>
      </c>
      <c r="O77" s="128">
        <f>PRODUCT($AN28:AY28)-1</f>
        <v>0.16334542085052139</v>
      </c>
      <c r="P77" s="128">
        <f>PRODUCT($AN28:AZ28)-1</f>
        <v>0.2846048985628622</v>
      </c>
      <c r="Q77" s="128">
        <f>PRODUCT($AN28:BA28)-1</f>
        <v>0.35072391457362495</v>
      </c>
      <c r="R77" s="32"/>
      <c r="S77" s="32"/>
      <c r="T77" s="32"/>
      <c r="U77" s="32"/>
      <c r="V77" s="32"/>
      <c r="W77" s="32"/>
      <c r="X77" s="32"/>
      <c r="Y77" s="32"/>
      <c r="Z77" s="32"/>
      <c r="AA77" s="32"/>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row>
    <row r="78" spans="2:90">
      <c r="B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row>
    <row r="79" spans="2:90">
      <c r="B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row>
    <row r="80" spans="2:90">
      <c r="B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row>
    <row r="81" spans="2:7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row>
    <row r="84" spans="2:77" ht="34.9">
      <c r="B84" s="231"/>
      <c r="C84" s="231"/>
      <c r="D84" s="131"/>
      <c r="E84" s="184"/>
      <c r="F84" s="184"/>
      <c r="G84" s="184"/>
      <c r="H84" s="184"/>
      <c r="I84" s="184"/>
      <c r="J84" s="184"/>
      <c r="K84" s="184"/>
      <c r="L84" s="184"/>
      <c r="M84" s="184"/>
      <c r="N84" s="184"/>
      <c r="O84" s="184"/>
      <c r="P84" s="184"/>
      <c r="Q84" s="184"/>
      <c r="R84" s="184"/>
      <c r="S84" s="184"/>
      <c r="T84" s="184"/>
      <c r="U84" s="184"/>
      <c r="V84" s="184"/>
      <c r="W84" s="184"/>
      <c r="X84" s="184"/>
      <c r="Y84" s="184"/>
      <c r="Z84" s="184"/>
      <c r="AA84" s="184"/>
      <c r="AB84" s="184"/>
    </row>
    <row r="85" spans="2:77">
      <c r="B85" s="230"/>
      <c r="C85" s="230"/>
      <c r="D85" s="130"/>
      <c r="E85" s="147"/>
      <c r="F85" s="147"/>
      <c r="G85" s="147"/>
      <c r="H85" s="147"/>
      <c r="I85" s="147"/>
      <c r="J85" s="147"/>
      <c r="K85" s="147"/>
      <c r="L85" s="147"/>
      <c r="M85" s="147"/>
      <c r="N85" s="147"/>
      <c r="O85" s="147"/>
      <c r="P85" s="147"/>
      <c r="Q85" s="147"/>
      <c r="R85" s="147"/>
      <c r="S85" s="147"/>
      <c r="T85" s="147"/>
      <c r="U85" s="147"/>
      <c r="V85" s="147"/>
      <c r="W85" s="147"/>
      <c r="X85" s="147"/>
      <c r="Y85" s="147"/>
      <c r="Z85" s="147"/>
      <c r="AA85" s="147"/>
      <c r="AB85" s="147"/>
    </row>
    <row r="86" spans="2:77">
      <c r="B86" s="230"/>
      <c r="C86" s="230"/>
      <c r="D86" s="130"/>
      <c r="E86" s="147"/>
      <c r="F86" s="147"/>
      <c r="G86" s="147"/>
      <c r="H86" s="147"/>
      <c r="I86" s="147"/>
      <c r="J86" s="147"/>
      <c r="K86" s="147"/>
      <c r="L86" s="147"/>
      <c r="M86" s="147"/>
      <c r="N86" s="147"/>
      <c r="O86" s="147"/>
      <c r="P86" s="147"/>
      <c r="Q86" s="147"/>
      <c r="R86" s="147"/>
      <c r="S86" s="147"/>
      <c r="T86" s="147"/>
      <c r="U86" s="147"/>
      <c r="V86" s="147"/>
      <c r="W86" s="147"/>
      <c r="X86" s="147"/>
      <c r="Y86" s="147"/>
      <c r="Z86" s="147"/>
      <c r="AA86" s="147"/>
      <c r="AB86" s="147"/>
    </row>
    <row r="87" spans="2:77">
      <c r="B87" s="230"/>
      <c r="C87" s="230"/>
      <c r="D87" s="130"/>
      <c r="E87" s="147"/>
      <c r="F87" s="147"/>
      <c r="G87" s="147"/>
      <c r="H87" s="147"/>
      <c r="I87" s="147"/>
      <c r="J87" s="147"/>
      <c r="K87" s="147"/>
      <c r="L87" s="147"/>
      <c r="M87" s="147"/>
      <c r="N87" s="147"/>
      <c r="O87" s="147"/>
      <c r="P87" s="147"/>
      <c r="Q87" s="147"/>
      <c r="R87" s="147"/>
      <c r="S87" s="147"/>
      <c r="T87" s="147"/>
      <c r="U87" s="147"/>
      <c r="V87" s="147"/>
      <c r="W87" s="147"/>
      <c r="X87" s="147"/>
      <c r="Y87" s="147"/>
      <c r="Z87" s="147"/>
      <c r="AA87" s="147"/>
      <c r="AB87" s="147"/>
    </row>
    <row r="88" spans="2:77">
      <c r="B88" s="230"/>
      <c r="C88" s="230"/>
      <c r="D88" s="130"/>
      <c r="E88" s="147"/>
      <c r="F88" s="147"/>
      <c r="G88" s="147"/>
      <c r="H88" s="147"/>
      <c r="I88" s="147"/>
      <c r="J88" s="147"/>
      <c r="K88" s="147"/>
      <c r="L88" s="147"/>
      <c r="M88" s="147"/>
      <c r="N88" s="147"/>
      <c r="O88" s="147"/>
      <c r="P88" s="147"/>
      <c r="Q88" s="147"/>
      <c r="R88" s="147"/>
      <c r="S88" s="161"/>
      <c r="T88" s="161"/>
      <c r="U88" s="161"/>
      <c r="V88" s="161"/>
      <c r="W88" s="161"/>
      <c r="X88" s="161"/>
      <c r="Y88" s="161"/>
      <c r="Z88" s="161"/>
      <c r="AA88" s="161"/>
      <c r="AB88" s="161"/>
    </row>
    <row r="89" spans="2:77">
      <c r="B89" s="230"/>
      <c r="C89" s="230"/>
      <c r="D89" s="131"/>
      <c r="E89" s="184"/>
      <c r="F89" s="184"/>
      <c r="G89" s="184"/>
      <c r="H89" s="184"/>
      <c r="I89" s="184"/>
      <c r="J89" s="184"/>
      <c r="K89" s="184"/>
      <c r="L89" s="184"/>
      <c r="M89" s="184"/>
      <c r="N89" s="184"/>
      <c r="O89" s="184"/>
      <c r="P89" s="184"/>
      <c r="Q89" s="184"/>
      <c r="R89" s="184"/>
      <c r="S89" s="184"/>
      <c r="T89" s="184"/>
      <c r="U89" s="184"/>
      <c r="V89" s="184"/>
      <c r="W89" s="184"/>
      <c r="X89" s="184"/>
      <c r="Y89" s="184"/>
      <c r="Z89" s="184"/>
      <c r="AA89" s="184"/>
      <c r="AB89" s="184"/>
    </row>
  </sheetData>
  <mergeCells count="13">
    <mergeCell ref="B66:B67"/>
    <mergeCell ref="B2:C3"/>
    <mergeCell ref="B5:B6"/>
    <mergeCell ref="B17:B18"/>
    <mergeCell ref="B30:B31"/>
    <mergeCell ref="B42:B43"/>
    <mergeCell ref="B54:B55"/>
    <mergeCell ref="B89:C89"/>
    <mergeCell ref="B84:C84"/>
    <mergeCell ref="B85:C85"/>
    <mergeCell ref="B86:C86"/>
    <mergeCell ref="B87:C87"/>
    <mergeCell ref="B88:C88"/>
  </mergeCells>
  <phoneticPr fontId="8" type="noConversion"/>
  <pageMargins left="0.69972223043441772" right="0.69972223043441772" top="0.75" bottom="0.75" header="0.30000001192092896" footer="0.30000001192092896"/>
  <pageSetup paperSize="9" fitToWidth="0" fitToHeight="0"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D3163-531D-DD46-9ABD-048E99B07F3C}">
  <dimension ref="B1:AJ73"/>
  <sheetViews>
    <sheetView zoomScale="61" zoomScaleNormal="55" workbookViewId="0">
      <selection activeCell="J14" sqref="J14"/>
    </sheetView>
  </sheetViews>
  <sheetFormatPr baseColWidth="10" defaultColWidth="8.6875" defaultRowHeight="16.899999999999999"/>
  <cols>
    <col min="1" max="2" width="8.6875" style="36"/>
    <col min="3" max="7" width="11" style="36"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18"/>
      <c r="G1" s="219"/>
      <c r="H1" s="219"/>
    </row>
    <row r="2" spans="2:36" ht="24" customHeight="1" thickBot="1">
      <c r="B2" s="220" t="s">
        <v>128</v>
      </c>
      <c r="C2" s="221"/>
      <c r="D2" s="222"/>
      <c r="J2" s="226" t="s">
        <v>60</v>
      </c>
      <c r="K2" s="227"/>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23"/>
      <c r="C3" s="224"/>
      <c r="D3" s="225"/>
      <c r="F3" s="188" t="s">
        <v>60</v>
      </c>
      <c r="G3" s="189" t="s">
        <v>129</v>
      </c>
      <c r="J3" s="48" t="s">
        <v>81</v>
      </c>
      <c r="K3" s="190" t="s">
        <v>99</v>
      </c>
      <c r="L3" s="42">
        <v>0</v>
      </c>
      <c r="M3" s="147">
        <v>2.0032995522036412E-2</v>
      </c>
      <c r="N3" s="147">
        <v>1.1784115012962726E-3</v>
      </c>
      <c r="O3" s="147">
        <v>-0.21140702333254768</v>
      </c>
      <c r="P3" s="147">
        <v>-0.16780579778458626</v>
      </c>
      <c r="Q3" s="147">
        <v>-0.19868017911854818</v>
      </c>
      <c r="R3" s="147">
        <v>-0.32665566815932123</v>
      </c>
      <c r="S3" s="147">
        <v>-0.20645769502710343</v>
      </c>
      <c r="T3" s="147">
        <v>-0.12868253594155077</v>
      </c>
      <c r="U3" s="147">
        <v>-0.2649069054913975</v>
      </c>
      <c r="V3" s="147">
        <v>-0.21894885694084365</v>
      </c>
      <c r="W3" s="147">
        <v>-0.26302144708932351</v>
      </c>
      <c r="X3" s="147">
        <v>-0.2858826302144708</v>
      </c>
      <c r="Y3" s="147">
        <v>-0.33160499646476538</v>
      </c>
      <c r="Z3" s="147">
        <v>-0.34103228847513534</v>
      </c>
      <c r="AA3" s="147">
        <v>-0.20103700212114051</v>
      </c>
      <c r="AB3" s="147">
        <v>-0.24228140466650938</v>
      </c>
      <c r="AC3" s="147">
        <v>-0.29908083902898874</v>
      </c>
      <c r="AD3" s="147">
        <v>-0.39948149893942952</v>
      </c>
      <c r="AE3" s="147">
        <v>-0.50412444025453684</v>
      </c>
      <c r="AF3" s="147">
        <v>-0.4296488333726135</v>
      </c>
      <c r="AG3" s="147">
        <v>-0.35564459109120872</v>
      </c>
      <c r="AH3" s="147">
        <v>-0.32901249116191345</v>
      </c>
      <c r="AI3" s="147">
        <v>-0.23073297195380593</v>
      </c>
      <c r="AJ3" s="152">
        <v>-0.34480320527928321</v>
      </c>
    </row>
    <row r="4" spans="2:36" ht="24" customHeight="1" thickBot="1">
      <c r="J4" s="43" t="s">
        <v>81</v>
      </c>
      <c r="K4" s="191" t="s">
        <v>96</v>
      </c>
      <c r="L4" s="45">
        <v>0</v>
      </c>
      <c r="M4" s="147">
        <v>8.9301121656600424E-2</v>
      </c>
      <c r="N4" s="147">
        <v>2.7394305435720412E-2</v>
      </c>
      <c r="O4" s="147">
        <v>-0.235979292493529</v>
      </c>
      <c r="P4" s="147">
        <v>-0.20729076790336509</v>
      </c>
      <c r="Q4" s="147">
        <v>-0.24482312338222623</v>
      </c>
      <c r="R4" s="147">
        <v>-0.29831751509922355</v>
      </c>
      <c r="S4" s="147">
        <v>-7.0750647109577458E-2</v>
      </c>
      <c r="T4" s="147">
        <v>-4.7238999137187432E-2</v>
      </c>
      <c r="U4" s="147">
        <v>-0.1867989646246766</v>
      </c>
      <c r="V4" s="147">
        <v>5.6082830025884212E-2</v>
      </c>
      <c r="W4" s="147">
        <v>0.12079378774805849</v>
      </c>
      <c r="X4" s="147">
        <v>-4.5513373597929396E-2</v>
      </c>
      <c r="Y4" s="147">
        <v>-5.5220017256255582E-2</v>
      </c>
      <c r="Z4" s="147">
        <v>2.3943054357204119E-2</v>
      </c>
      <c r="AA4" s="147">
        <v>0.18356341673856713</v>
      </c>
      <c r="AB4" s="147">
        <v>0.17148403796376144</v>
      </c>
      <c r="AC4" s="147">
        <v>7.441760138050002E-2</v>
      </c>
      <c r="AD4" s="147">
        <v>-8.7575496117342944E-2</v>
      </c>
      <c r="AE4" s="147">
        <v>-0.24482312338222634</v>
      </c>
      <c r="AF4" s="147">
        <v>-0.15012942191544465</v>
      </c>
      <c r="AG4" s="147">
        <v>-0.11000862812769663</v>
      </c>
      <c r="AH4" s="147">
        <v>-0.10742018981880963</v>
      </c>
      <c r="AI4" s="147">
        <v>-1.87661777394309E-2</v>
      </c>
      <c r="AJ4" s="152">
        <v>3.2786885245901232E-2</v>
      </c>
    </row>
    <row r="5" spans="2:36" ht="24" customHeight="1">
      <c r="B5" s="51"/>
      <c r="C5" s="50">
        <v>2021</v>
      </c>
      <c r="D5" s="50">
        <v>2022</v>
      </c>
      <c r="E5" s="50">
        <v>2023</v>
      </c>
      <c r="F5" s="50">
        <v>2024</v>
      </c>
      <c r="G5" s="49">
        <v>2025</v>
      </c>
      <c r="J5" s="44" t="s">
        <v>82</v>
      </c>
      <c r="K5" s="192" t="s">
        <v>99</v>
      </c>
      <c r="L5" s="46">
        <v>0</v>
      </c>
      <c r="M5" s="147">
        <v>-6.4026402640264046E-2</v>
      </c>
      <c r="N5" s="147">
        <v>-7.7227722772277185E-2</v>
      </c>
      <c r="O5" s="147">
        <v>0.11881188118811892</v>
      </c>
      <c r="P5" s="147">
        <v>6.1056105610561184E-2</v>
      </c>
      <c r="Q5" s="147">
        <v>-1.848184818481835E-2</v>
      </c>
      <c r="R5" s="147">
        <v>-0.15907590759075896</v>
      </c>
      <c r="S5" s="147">
        <v>-0.30561056105610551</v>
      </c>
      <c r="T5" s="147">
        <v>-0.20132013201320109</v>
      </c>
      <c r="U5" s="147">
        <v>-9.7689768976897406E-2</v>
      </c>
      <c r="V5" s="147">
        <v>-6.0396039603960117E-2</v>
      </c>
      <c r="W5" s="147">
        <v>7.7227722772277518E-2</v>
      </c>
      <c r="X5" s="147">
        <v>-8.2508250825082285E-2</v>
      </c>
      <c r="Y5" s="147">
        <v>-0.18052805280528039</v>
      </c>
      <c r="Z5" s="147">
        <v>-0.15181518151815154</v>
      </c>
      <c r="AA5" s="147">
        <v>-9.6039603960395792E-2</v>
      </c>
      <c r="AB5" s="147">
        <v>-0.14356435643564336</v>
      </c>
      <c r="AC5" s="147">
        <v>-8.0528052805280192E-2</v>
      </c>
      <c r="AD5" s="147">
        <v>-5.77557755775574E-2</v>
      </c>
      <c r="AE5" s="147">
        <v>-2.1782178217821357E-2</v>
      </c>
      <c r="AF5" s="147">
        <v>3.5313531353135641E-2</v>
      </c>
      <c r="AG5" s="147">
        <v>7.5577557755776015E-2</v>
      </c>
      <c r="AH5" s="147">
        <v>-1.2541254125412182E-2</v>
      </c>
      <c r="AI5" s="147">
        <v>-9.9009900990065791E-4</v>
      </c>
      <c r="AJ5" s="152">
        <v>7.9867986798680013E-2</v>
      </c>
    </row>
    <row r="6" spans="2:36" ht="24" customHeight="1">
      <c r="B6" s="47" t="s">
        <v>69</v>
      </c>
      <c r="C6" s="138">
        <v>-1670</v>
      </c>
      <c r="D6" s="139">
        <v>-6227</v>
      </c>
      <c r="E6" s="139">
        <v>-8490</v>
      </c>
      <c r="F6" s="139">
        <v>-11141</v>
      </c>
      <c r="G6" s="140">
        <v>-12287</v>
      </c>
      <c r="H6" s="1"/>
      <c r="J6" s="43" t="s">
        <v>82</v>
      </c>
      <c r="K6" s="191" t="s">
        <v>101</v>
      </c>
      <c r="L6" s="45">
        <v>0</v>
      </c>
      <c r="M6" s="147">
        <v>0.12969628796400445</v>
      </c>
      <c r="N6" s="147">
        <v>5.9955005624297009E-2</v>
      </c>
      <c r="O6" s="147">
        <v>0.37289088863891995</v>
      </c>
      <c r="P6" s="147">
        <v>0.34488188976377954</v>
      </c>
      <c r="Q6" s="147">
        <v>-3.4083239595050552E-2</v>
      </c>
      <c r="R6" s="147">
        <v>-0.15950506186726654</v>
      </c>
      <c r="S6" s="147">
        <v>-0.27154105736782885</v>
      </c>
      <c r="T6" s="147">
        <v>-0.25106861642294709</v>
      </c>
      <c r="U6" s="147">
        <v>-8.7514060742406974E-2</v>
      </c>
      <c r="V6" s="147">
        <v>-0.13397075365579292</v>
      </c>
      <c r="W6" s="147">
        <v>-0.1960629921259841</v>
      </c>
      <c r="X6" s="147">
        <v>-0.1627671541057365</v>
      </c>
      <c r="Y6" s="147">
        <v>-0.39268841394825627</v>
      </c>
      <c r="Z6" s="147">
        <v>-0.40787401574803139</v>
      </c>
      <c r="AA6" s="147">
        <v>-0.43498312710911136</v>
      </c>
      <c r="AB6" s="147">
        <v>-0.36929133858267715</v>
      </c>
      <c r="AC6" s="147">
        <v>-0.52665916760404952</v>
      </c>
      <c r="AD6" s="147">
        <v>-0.38065241844769404</v>
      </c>
      <c r="AE6" s="147">
        <v>-0.26872890888638923</v>
      </c>
      <c r="AF6" s="147">
        <v>-7.9415073115860602E-2</v>
      </c>
      <c r="AG6" s="147">
        <v>5.8717660292463503E-2</v>
      </c>
      <c r="AH6" s="147">
        <v>0.152193475815523</v>
      </c>
      <c r="AI6" s="147">
        <v>-0.17322834645669305</v>
      </c>
      <c r="AJ6" s="152">
        <v>-0.41901012373453328</v>
      </c>
    </row>
    <row r="7" spans="2:36" ht="24" customHeight="1">
      <c r="B7" s="47" t="s">
        <v>70</v>
      </c>
      <c r="C7" s="141">
        <v>8872</v>
      </c>
      <c r="D7" s="142">
        <v>4430</v>
      </c>
      <c r="E7" s="142">
        <v>1699</v>
      </c>
      <c r="F7" s="142">
        <v>-1002</v>
      </c>
      <c r="G7" s="143">
        <v>-5276</v>
      </c>
      <c r="H7" s="1"/>
      <c r="J7" s="44" t="s">
        <v>83</v>
      </c>
      <c r="K7" s="192" t="s">
        <v>99</v>
      </c>
      <c r="L7" s="46">
        <v>0</v>
      </c>
      <c r="M7" s="147">
        <v>-0.10683453237410079</v>
      </c>
      <c r="N7" s="147">
        <v>-7.5539568345323715E-2</v>
      </c>
      <c r="O7" s="147">
        <v>-1.4748201438848918E-2</v>
      </c>
      <c r="P7" s="147">
        <v>-6.6546762589928088E-2</v>
      </c>
      <c r="Q7" s="147">
        <v>2.1582733812950394E-3</v>
      </c>
      <c r="R7" s="147">
        <v>2.6978417266187105E-2</v>
      </c>
      <c r="S7" s="147">
        <v>6.6187050359712396E-2</v>
      </c>
      <c r="T7" s="147">
        <v>0.12841726618705041</v>
      </c>
      <c r="U7" s="147">
        <v>0.17230215827338147</v>
      </c>
      <c r="V7" s="147">
        <v>7.6258992805755543E-2</v>
      </c>
      <c r="W7" s="147">
        <v>8.8848920863309422E-2</v>
      </c>
      <c r="X7" s="147">
        <v>0.17697841726618702</v>
      </c>
      <c r="Y7" s="147">
        <v>-1.4028776978417201E-2</v>
      </c>
      <c r="Z7" s="147">
        <v>0.17697841726618702</v>
      </c>
      <c r="AA7" s="147">
        <v>0.14388489208633093</v>
      </c>
      <c r="AB7" s="147">
        <v>9.676258992805753E-2</v>
      </c>
      <c r="AC7" s="147">
        <v>0.16654676258992795</v>
      </c>
      <c r="AD7" s="147">
        <v>0.13165467625899274</v>
      </c>
      <c r="AE7" s="147">
        <v>8.0575539568345178E-2</v>
      </c>
      <c r="AF7" s="147">
        <v>0.24136690647481984</v>
      </c>
      <c r="AG7" s="147">
        <v>0.47374100719424428</v>
      </c>
      <c r="AH7" s="147">
        <v>0.70215827338129477</v>
      </c>
      <c r="AI7" s="147">
        <v>0.76438848920863278</v>
      </c>
      <c r="AJ7" s="152">
        <v>0.34568345323740979</v>
      </c>
    </row>
    <row r="8" spans="2:36" ht="24" customHeight="1">
      <c r="B8" s="47" t="s">
        <v>71</v>
      </c>
      <c r="C8" s="141">
        <v>-289</v>
      </c>
      <c r="D8" s="142">
        <v>-535</v>
      </c>
      <c r="E8" s="142">
        <v>-787</v>
      </c>
      <c r="F8" s="142">
        <v>-862</v>
      </c>
      <c r="G8" s="143">
        <v>-1145</v>
      </c>
      <c r="J8" s="43" t="s">
        <v>83</v>
      </c>
      <c r="K8" s="191" t="s">
        <v>101</v>
      </c>
      <c r="L8" s="45">
        <v>0</v>
      </c>
      <c r="M8" s="147">
        <v>-0.27462044874378611</v>
      </c>
      <c r="N8" s="147">
        <v>-0.29275829638586592</v>
      </c>
      <c r="O8" s="147">
        <v>-0.32513771328765295</v>
      </c>
      <c r="P8" s="147">
        <v>-0.24667472793228551</v>
      </c>
      <c r="Q8" s="147">
        <v>-0.43463657127502364</v>
      </c>
      <c r="R8" s="147">
        <v>-0.26024452505710072</v>
      </c>
      <c r="S8" s="147">
        <v>-0.12656187021362364</v>
      </c>
      <c r="T8" s="147">
        <v>9.9556630390971179E-2</v>
      </c>
      <c r="U8" s="147">
        <v>0.2645438667204083</v>
      </c>
      <c r="V8" s="147">
        <v>0.37619239553943284</v>
      </c>
      <c r="W8" s="147">
        <v>-1.2494961708988561E-2</v>
      </c>
      <c r="X8" s="147">
        <v>-0.30605938465672455</v>
      </c>
      <c r="Y8" s="147">
        <v>-0.36947467419051472</v>
      </c>
      <c r="Z8" s="147">
        <v>-0.25325809485422557</v>
      </c>
      <c r="AA8" s="147">
        <v>-0.26172242375386279</v>
      </c>
      <c r="AB8" s="147">
        <v>-0.30619373908370295</v>
      </c>
      <c r="AC8" s="147">
        <v>-0.15813516055354049</v>
      </c>
      <c r="AD8" s="147">
        <v>-0.18352814725245215</v>
      </c>
      <c r="AE8" s="147">
        <v>-0.16458417304850226</v>
      </c>
      <c r="AF8" s="147">
        <v>2.1093645035603403E-2</v>
      </c>
      <c r="AG8" s="147">
        <v>0.14564019884455148</v>
      </c>
      <c r="AH8" s="147">
        <v>0.19078328630928332</v>
      </c>
      <c r="AI8" s="147">
        <v>0.37243047158403808</v>
      </c>
      <c r="AJ8" s="152">
        <v>8.8808276232701377E-2</v>
      </c>
    </row>
    <row r="9" spans="2:36" ht="24" customHeight="1">
      <c r="B9" s="47" t="s">
        <v>72</v>
      </c>
      <c r="C9" s="141">
        <f>675366/1000</f>
        <v>675.36599999999999</v>
      </c>
      <c r="D9" s="142">
        <f>404438/1000</f>
        <v>404.43799999999999</v>
      </c>
      <c r="E9" s="142">
        <f>-211177/1000</f>
        <v>-211.17699999999999</v>
      </c>
      <c r="F9" s="142">
        <f>-285799/1000</f>
        <v>-285.79899999999998</v>
      </c>
      <c r="G9" s="143">
        <f>-50809/1000</f>
        <v>-50.808999999999997</v>
      </c>
      <c r="J9" s="44" t="s">
        <v>84</v>
      </c>
      <c r="K9" s="190" t="s">
        <v>101</v>
      </c>
      <c r="L9" s="42">
        <v>0</v>
      </c>
      <c r="M9" s="147">
        <v>-9.1384317521781222E-2</v>
      </c>
      <c r="N9" s="147">
        <v>7.6089060987415413E-2</v>
      </c>
      <c r="O9" s="147">
        <v>6.3891577928364196E-2</v>
      </c>
      <c r="P9" s="147">
        <v>-1.9361084220703706E-4</v>
      </c>
      <c r="Q9" s="147">
        <v>0.21316553727008714</v>
      </c>
      <c r="R9" s="147">
        <v>0.17657308809293326</v>
      </c>
      <c r="S9" s="147">
        <v>0.20387221684414314</v>
      </c>
      <c r="T9" s="147">
        <v>0.4714424007744431</v>
      </c>
      <c r="U9" s="147">
        <v>0.65091965150048381</v>
      </c>
      <c r="V9" s="147">
        <v>0.71597289448209067</v>
      </c>
      <c r="W9" s="147">
        <v>0.97773475314617597</v>
      </c>
      <c r="X9" s="147">
        <v>0.56902226524685373</v>
      </c>
      <c r="Y9" s="147">
        <v>0.46447241045498533</v>
      </c>
      <c r="Z9" s="147">
        <v>0.77366892545982546</v>
      </c>
      <c r="AJ9" s="41"/>
    </row>
    <row r="10" spans="2:36" ht="24" customHeight="1" thickBot="1">
      <c r="B10" s="63" t="s">
        <v>75</v>
      </c>
      <c r="C10" s="141">
        <v>-172</v>
      </c>
      <c r="D10" s="142">
        <v>-1832</v>
      </c>
      <c r="E10" s="142">
        <v>-1468</v>
      </c>
      <c r="F10" s="142">
        <v>377</v>
      </c>
      <c r="G10" s="143">
        <v>-1164</v>
      </c>
      <c r="J10" s="43" t="s">
        <v>84</v>
      </c>
      <c r="K10" s="190" t="s">
        <v>97</v>
      </c>
      <c r="L10" s="42">
        <v>0</v>
      </c>
      <c r="M10" s="147">
        <v>-9.5435684647302899E-2</v>
      </c>
      <c r="N10" s="147">
        <v>4.7717842323651283E-2</v>
      </c>
      <c r="O10" s="147">
        <v>-0.12240663900414939</v>
      </c>
      <c r="P10" s="147">
        <v>-7.8838174273858974E-2</v>
      </c>
      <c r="Q10" s="147">
        <v>0.10995850622406622</v>
      </c>
      <c r="R10" s="147">
        <v>2.0746887966804906E-2</v>
      </c>
      <c r="S10" s="147">
        <v>-0.12863070539419086</v>
      </c>
      <c r="T10" s="147">
        <v>-5.1867219917012375E-2</v>
      </c>
      <c r="U10" s="147">
        <v>-5.6016597510373467E-2</v>
      </c>
      <c r="V10" s="147">
        <v>1.0373443983402453E-2</v>
      </c>
      <c r="W10" s="147">
        <v>0.14937759336099576</v>
      </c>
      <c r="X10" s="147">
        <v>-8.2987551867219955E-2</v>
      </c>
      <c r="Y10" s="147">
        <v>-3.319502074688796E-2</v>
      </c>
      <c r="Z10" s="147">
        <v>0.13278008298755184</v>
      </c>
      <c r="AA10" s="153"/>
      <c r="AB10" s="153"/>
      <c r="AC10" s="153"/>
      <c r="AD10" s="153"/>
      <c r="AE10" s="153"/>
      <c r="AF10" s="153"/>
      <c r="AG10" s="153"/>
      <c r="AH10" s="153"/>
      <c r="AI10" s="153"/>
      <c r="AJ10" s="154"/>
    </row>
    <row r="11" spans="2:36" ht="24" customHeight="1" thickBot="1">
      <c r="B11" s="47" t="s">
        <v>76</v>
      </c>
      <c r="C11" s="141">
        <v>-71</v>
      </c>
      <c r="D11" s="142">
        <v>-1453</v>
      </c>
      <c r="E11" s="142">
        <v>-1754</v>
      </c>
      <c r="F11" s="142">
        <v>-2385</v>
      </c>
      <c r="G11" s="143">
        <v>-3323</v>
      </c>
      <c r="J11" s="216" t="s">
        <v>58</v>
      </c>
      <c r="K11" s="217"/>
      <c r="L11" s="40">
        <v>0</v>
      </c>
      <c r="M11" s="39">
        <f t="shared" ref="M11:AJ11" si="0">AVERAGE(M3:M10)</f>
        <v>-4.9158872598074221E-2</v>
      </c>
      <c r="N11" s="39">
        <f t="shared" si="0"/>
        <v>-2.9148870203885804E-2</v>
      </c>
      <c r="O11" s="39">
        <f t="shared" si="0"/>
        <v>-4.426056522516561E-2</v>
      </c>
      <c r="P11" s="39">
        <f t="shared" si="0"/>
        <v>-4.517648074398628E-2</v>
      </c>
      <c r="Q11" s="39">
        <f t="shared" si="0"/>
        <v>-7.567783058502732E-2</v>
      </c>
      <c r="R11" s="39">
        <f t="shared" si="0"/>
        <v>-0.1224375355559682</v>
      </c>
      <c r="S11" s="39">
        <f t="shared" si="0"/>
        <v>-0.10493665862057178</v>
      </c>
      <c r="T11" s="39">
        <f t="shared" si="0"/>
        <v>2.4048492400707416E-3</v>
      </c>
      <c r="U11" s="39">
        <f t="shared" si="0"/>
        <v>4.9354922393565204E-2</v>
      </c>
      <c r="V11" s="39">
        <f t="shared" si="0"/>
        <v>0.10269561332949613</v>
      </c>
      <c r="W11" s="39">
        <f t="shared" si="0"/>
        <v>0.11780042212081512</v>
      </c>
      <c r="X11" s="39">
        <f t="shared" si="0"/>
        <v>-2.7464707844265343E-2</v>
      </c>
      <c r="Y11" s="39">
        <f t="shared" si="0"/>
        <v>-0.11403344274192402</v>
      </c>
      <c r="Z11" s="39">
        <f t="shared" si="0"/>
        <v>-5.8261375655969255E-3</v>
      </c>
      <c r="AA11" s="39">
        <f t="shared" si="0"/>
        <v>-0.11105564135326873</v>
      </c>
      <c r="AB11" s="39">
        <f t="shared" si="0"/>
        <v>-0.13218070181278566</v>
      </c>
      <c r="AC11" s="39">
        <f t="shared" si="0"/>
        <v>-0.13723980933690516</v>
      </c>
      <c r="AD11" s="39">
        <f t="shared" si="0"/>
        <v>-0.16288977667924723</v>
      </c>
      <c r="AE11" s="39">
        <f t="shared" si="0"/>
        <v>-0.18724454737018847</v>
      </c>
      <c r="AF11" s="39">
        <f t="shared" si="0"/>
        <v>-6.0236540923393311E-2</v>
      </c>
      <c r="AG11" s="39">
        <f t="shared" si="0"/>
        <v>4.8003867478021656E-2</v>
      </c>
      <c r="AH11" s="39">
        <f t="shared" si="0"/>
        <v>9.9360183399994306E-2</v>
      </c>
      <c r="AI11" s="39">
        <f t="shared" si="0"/>
        <v>0.11885022760547338</v>
      </c>
      <c r="AJ11" s="38">
        <f t="shared" si="0"/>
        <v>-3.6111121249854015E-2</v>
      </c>
    </row>
    <row r="12" spans="2:36" ht="24" customHeight="1">
      <c r="B12" s="64" t="s">
        <v>74</v>
      </c>
      <c r="C12" s="141">
        <v>3530</v>
      </c>
      <c r="D12" s="142">
        <v>-2145</v>
      </c>
      <c r="E12" s="142">
        <v>-1505</v>
      </c>
      <c r="F12" s="142">
        <v>-4431</v>
      </c>
      <c r="G12" s="143">
        <v>-9276</v>
      </c>
    </row>
    <row r="13" spans="2:36" ht="24" customHeight="1" thickBot="1">
      <c r="B13" s="65" t="s">
        <v>73</v>
      </c>
      <c r="C13" s="144">
        <v>-5026</v>
      </c>
      <c r="D13" s="145">
        <v>-12929</v>
      </c>
      <c r="E13" s="145">
        <v>-16149</v>
      </c>
      <c r="F13" s="145">
        <v>-16826</v>
      </c>
      <c r="G13" s="146">
        <v>-16656</v>
      </c>
    </row>
    <row r="14" spans="2:36" ht="24" customHeight="1" thickBot="1"/>
    <row r="15" spans="2:36" ht="24" customHeight="1" thickBot="1">
      <c r="B15" s="51"/>
      <c r="C15" s="50">
        <v>2021</v>
      </c>
      <c r="D15" s="50">
        <v>2022</v>
      </c>
      <c r="E15" s="50">
        <v>2023</v>
      </c>
      <c r="F15" s="50">
        <v>2024</v>
      </c>
      <c r="G15" s="49">
        <v>2025</v>
      </c>
      <c r="J15" s="228" t="s">
        <v>59</v>
      </c>
      <c r="K15" s="229"/>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7</v>
      </c>
      <c r="D16" s="84">
        <v>7</v>
      </c>
      <c r="E16" s="84">
        <v>7</v>
      </c>
      <c r="F16" s="84">
        <v>7</v>
      </c>
      <c r="G16" s="85">
        <v>7</v>
      </c>
      <c r="J16" s="48" t="s">
        <v>81</v>
      </c>
      <c r="K16" s="197" t="s">
        <v>104</v>
      </c>
      <c r="L16" s="42">
        <v>0</v>
      </c>
      <c r="M16" s="147">
        <v>2.8493150684931523E-2</v>
      </c>
      <c r="N16" s="147">
        <v>-2.082191780821907E-2</v>
      </c>
      <c r="O16" s="147">
        <v>-0.30520547945205467</v>
      </c>
      <c r="P16" s="147">
        <v>-0.24876712328767103</v>
      </c>
      <c r="Q16" s="147">
        <v>-0.28821917808219166</v>
      </c>
      <c r="R16" s="147">
        <v>-0.34027397260273973</v>
      </c>
      <c r="S16" s="147">
        <v>-0.22301369863013698</v>
      </c>
      <c r="T16" s="147">
        <v>-0.20931506849315062</v>
      </c>
      <c r="U16" s="147">
        <v>-0.30301369863013694</v>
      </c>
      <c r="V16" s="147">
        <v>-0.11561643835616431</v>
      </c>
      <c r="W16" s="147">
        <v>-0.12438356164383557</v>
      </c>
      <c r="X16" s="147">
        <v>-0.19178082191780821</v>
      </c>
      <c r="Y16" s="147">
        <v>-0.25260273972602731</v>
      </c>
      <c r="Z16" s="147">
        <v>-0.19013698630136988</v>
      </c>
      <c r="AA16" s="147">
        <v>-1.69863013698629E-2</v>
      </c>
      <c r="AB16" s="147">
        <v>-8.2191780821917693E-2</v>
      </c>
      <c r="AC16" s="147">
        <v>-0.19287671232876702</v>
      </c>
      <c r="AD16" s="147">
        <v>-0.29808219178082185</v>
      </c>
      <c r="AE16" s="147">
        <v>-0.38904109589041092</v>
      </c>
      <c r="AF16" s="147">
        <v>-0.31890410958904114</v>
      </c>
      <c r="AG16" s="147">
        <v>-0.24712328767123293</v>
      </c>
      <c r="AH16" s="147">
        <v>-0.22027397260273973</v>
      </c>
      <c r="AI16" s="147">
        <v>-0.14082191780821918</v>
      </c>
      <c r="AJ16" s="152">
        <v>-0.15890410958904111</v>
      </c>
    </row>
    <row r="17" spans="2:36" ht="24" customHeight="1">
      <c r="B17" s="47" t="s">
        <v>70</v>
      </c>
      <c r="C17" s="84">
        <v>1</v>
      </c>
      <c r="D17" s="84">
        <v>1</v>
      </c>
      <c r="E17" s="84">
        <v>1</v>
      </c>
      <c r="F17" s="84">
        <v>4</v>
      </c>
      <c r="G17" s="85">
        <v>5</v>
      </c>
      <c r="J17" s="43" t="s">
        <v>81</v>
      </c>
      <c r="K17" s="198" t="s">
        <v>102</v>
      </c>
      <c r="L17" s="45">
        <v>0</v>
      </c>
      <c r="M17" s="147">
        <v>8.7490206320188113E-2</v>
      </c>
      <c r="N17" s="147">
        <v>5.3538782972055499E-2</v>
      </c>
      <c r="O17" s="147">
        <v>-0.26795507965526244</v>
      </c>
      <c r="P17" s="147">
        <v>-0.19639592582919829</v>
      </c>
      <c r="Q17" s="147">
        <v>-0.2149386262731785</v>
      </c>
      <c r="R17" s="147">
        <v>-0.29093758161399852</v>
      </c>
      <c r="S17" s="147">
        <v>-0.14259597806215729</v>
      </c>
      <c r="T17" s="147">
        <v>-0.10603290676416832</v>
      </c>
      <c r="U17" s="147">
        <v>-0.16949595194567779</v>
      </c>
      <c r="V17" s="147">
        <v>-1.2013580569339322E-2</v>
      </c>
      <c r="W17" s="147">
        <v>-3.1078610603290646E-2</v>
      </c>
      <c r="X17" s="147">
        <v>-0.1175241577435362</v>
      </c>
      <c r="Y17" s="147">
        <v>-0.1329328806476886</v>
      </c>
      <c r="Z17" s="147">
        <v>-8.2005745625489679E-2</v>
      </c>
      <c r="AA17" s="147">
        <v>0.2013580569339255</v>
      </c>
      <c r="AB17" s="147">
        <v>0.16897362235570657</v>
      </c>
      <c r="AC17" s="147">
        <v>8.5923217550274211E-2</v>
      </c>
      <c r="AD17" s="147">
        <v>-6.2940715591538243E-2</v>
      </c>
      <c r="AE17" s="147">
        <v>-0.20867067119352312</v>
      </c>
      <c r="AF17" s="147">
        <v>-6.2157221206581403E-2</v>
      </c>
      <c r="AG17" s="147">
        <v>2.1676677983807568E-2</v>
      </c>
      <c r="AH17" s="147">
        <v>-6.0067902846696608E-3</v>
      </c>
      <c r="AI17" s="147">
        <v>7.3387307390963663E-2</v>
      </c>
      <c r="AJ17" s="152">
        <v>0.21859493340297709</v>
      </c>
    </row>
    <row r="18" spans="2:36" ht="24" customHeight="1">
      <c r="B18" s="47" t="s">
        <v>71</v>
      </c>
      <c r="C18" s="86">
        <v>6</v>
      </c>
      <c r="D18" s="86">
        <v>3</v>
      </c>
      <c r="E18" s="86">
        <v>3</v>
      </c>
      <c r="F18" s="86">
        <v>3</v>
      </c>
      <c r="G18" s="87">
        <v>2</v>
      </c>
      <c r="J18" s="44" t="s">
        <v>82</v>
      </c>
      <c r="K18" s="199" t="s">
        <v>104</v>
      </c>
      <c r="L18" s="46">
        <v>0</v>
      </c>
      <c r="M18" s="147">
        <v>-7.5254237288135517E-2</v>
      </c>
      <c r="N18" s="147">
        <v>2.0338983050847137E-3</v>
      </c>
      <c r="O18" s="147">
        <v>0.21627118644067811</v>
      </c>
      <c r="P18" s="147">
        <v>0.13559322033898313</v>
      </c>
      <c r="Q18" s="147">
        <v>-1.3559322033896981E-3</v>
      </c>
      <c r="R18" s="147">
        <v>-0.13152542372881337</v>
      </c>
      <c r="S18" s="147">
        <v>-0.24406779661016931</v>
      </c>
      <c r="T18" s="147">
        <v>-0.15728813559322019</v>
      </c>
      <c r="U18" s="147">
        <v>-6.847457627118636E-2</v>
      </c>
      <c r="V18" s="147">
        <v>-3.5254237288135482E-2</v>
      </c>
      <c r="W18" s="147">
        <v>6.3050847457627235E-2</v>
      </c>
      <c r="X18" s="147">
        <v>4.067796610169494E-2</v>
      </c>
      <c r="Y18" s="147">
        <v>-8.4067796610169498E-2</v>
      </c>
      <c r="Z18" s="147">
        <v>-0.22033898305084754</v>
      </c>
      <c r="AA18" s="147">
        <v>-0.23186440677966114</v>
      </c>
      <c r="AB18" s="147">
        <v>-0.27864406779661022</v>
      </c>
      <c r="AC18" s="147">
        <v>-0.28000000000000014</v>
      </c>
      <c r="AD18" s="147">
        <v>-0.23796610169491528</v>
      </c>
      <c r="AE18" s="147">
        <v>-9.152542372881356E-2</v>
      </c>
      <c r="AF18" s="147">
        <v>-1.5593220338983027E-2</v>
      </c>
      <c r="AG18" s="147">
        <v>0.18169491525423731</v>
      </c>
      <c r="AH18" s="147">
        <v>0.14711864406779673</v>
      </c>
      <c r="AI18" s="147">
        <v>-2.7118644067796627E-2</v>
      </c>
      <c r="AJ18" s="152">
        <v>-0.28474576271186436</v>
      </c>
    </row>
    <row r="19" spans="2:36" ht="24" customHeight="1">
      <c r="B19" s="47" t="s">
        <v>72</v>
      </c>
      <c r="C19" s="86">
        <v>3</v>
      </c>
      <c r="D19" s="86">
        <v>2</v>
      </c>
      <c r="E19" s="86">
        <v>2</v>
      </c>
      <c r="F19" s="86">
        <v>2</v>
      </c>
      <c r="G19" s="87">
        <v>1</v>
      </c>
      <c r="J19" s="43" t="s">
        <v>82</v>
      </c>
      <c r="K19" s="198" t="s">
        <v>102</v>
      </c>
      <c r="L19" s="45">
        <v>0</v>
      </c>
      <c r="M19" s="147">
        <v>-1.7460787215152318E-2</v>
      </c>
      <c r="N19" s="147">
        <v>4.0248594258656345E-2</v>
      </c>
      <c r="O19" s="147">
        <v>0.36134951168984908</v>
      </c>
      <c r="P19" s="147">
        <v>0.32465226398342706</v>
      </c>
      <c r="Q19" s="147">
        <v>0.23054158034921568</v>
      </c>
      <c r="R19" s="147">
        <v>6.1852619118082375E-2</v>
      </c>
      <c r="S19" s="147">
        <v>-0.10328499556081672</v>
      </c>
      <c r="T19" s="147">
        <v>6.2740455756140845E-2</v>
      </c>
      <c r="U19" s="147">
        <v>0.15773897602841069</v>
      </c>
      <c r="V19" s="147">
        <v>0.12636874815034038</v>
      </c>
      <c r="W19" s="147">
        <v>0.21633619414027816</v>
      </c>
      <c r="X19" s="147">
        <v>0.38088191772713809</v>
      </c>
      <c r="Y19" s="147">
        <v>0.44421426457531821</v>
      </c>
      <c r="Z19" s="147">
        <v>0.47173720035513478</v>
      </c>
      <c r="AA19" s="147">
        <v>0.3711157147084938</v>
      </c>
      <c r="AB19" s="147">
        <v>0.24326723882805568</v>
      </c>
      <c r="AC19" s="147">
        <v>0.23231725362533306</v>
      </c>
      <c r="AD19" s="147">
        <v>0.47292098253921311</v>
      </c>
      <c r="AE19" s="147">
        <v>0.65936667653151848</v>
      </c>
      <c r="AF19" s="147">
        <v>0.85646641018052705</v>
      </c>
      <c r="AG19" s="147">
        <v>0.75969221663214026</v>
      </c>
      <c r="AH19" s="147">
        <v>0.95679195028114905</v>
      </c>
      <c r="AI19" s="147">
        <v>0.74874223142941765</v>
      </c>
      <c r="AJ19" s="152">
        <v>0.27138206569991175</v>
      </c>
    </row>
    <row r="20" spans="2:36" ht="24" customHeight="1">
      <c r="B20" s="63" t="s">
        <v>75</v>
      </c>
      <c r="C20" s="88">
        <v>5</v>
      </c>
      <c r="D20" s="89">
        <v>5</v>
      </c>
      <c r="E20" s="89">
        <v>4</v>
      </c>
      <c r="F20" s="89">
        <v>1</v>
      </c>
      <c r="G20" s="90">
        <v>3</v>
      </c>
      <c r="J20" s="44" t="s">
        <v>83</v>
      </c>
      <c r="K20" s="199" t="s">
        <v>104</v>
      </c>
      <c r="L20" s="46">
        <v>0</v>
      </c>
      <c r="M20" s="147">
        <v>-0.11986970684039089</v>
      </c>
      <c r="N20" s="147">
        <v>-0.250814332247557</v>
      </c>
      <c r="O20" s="147">
        <v>-0.26188925081433223</v>
      </c>
      <c r="P20" s="147">
        <v>-0.30684039087947879</v>
      </c>
      <c r="Q20" s="147">
        <v>-0.30814332247557008</v>
      </c>
      <c r="R20" s="147">
        <v>-0.26775244299674261</v>
      </c>
      <c r="S20" s="147">
        <v>-0.12703583061889245</v>
      </c>
      <c r="T20" s="147">
        <v>-5.4071661237784951E-2</v>
      </c>
      <c r="U20" s="147">
        <v>0.13550488599348531</v>
      </c>
      <c r="V20" s="147">
        <v>0.10228013029315974</v>
      </c>
      <c r="W20" s="147">
        <v>-6.514657980456029E-2</v>
      </c>
      <c r="X20" s="147">
        <v>-0.31270358306188917</v>
      </c>
      <c r="Y20" s="147">
        <v>-0.35179153094462545</v>
      </c>
      <c r="Z20" s="147">
        <v>-0.25667752442996739</v>
      </c>
      <c r="AA20" s="147">
        <v>-0.2690553745928338</v>
      </c>
      <c r="AB20" s="147">
        <v>-0.25146579804560265</v>
      </c>
      <c r="AC20" s="147">
        <v>-0.12899022801302951</v>
      </c>
      <c r="AD20" s="147">
        <v>-0.26775244299674283</v>
      </c>
      <c r="AE20" s="147">
        <v>-0.14462540716612382</v>
      </c>
      <c r="AF20" s="147">
        <v>-8.4690553745928376E-2</v>
      </c>
      <c r="AG20" s="147">
        <v>-1.3029315960914056E-3</v>
      </c>
      <c r="AH20" s="147">
        <v>-0.13355048859934859</v>
      </c>
      <c r="AI20" s="147">
        <v>-0.14853420195439748</v>
      </c>
      <c r="AJ20" s="152">
        <v>-0.30032573289902287</v>
      </c>
    </row>
    <row r="21" spans="2:36" ht="24" customHeight="1">
      <c r="B21" s="47" t="s">
        <v>76</v>
      </c>
      <c r="C21" s="91">
        <v>4</v>
      </c>
      <c r="D21" s="91">
        <v>4</v>
      </c>
      <c r="E21" s="84">
        <v>6</v>
      </c>
      <c r="F21" s="84">
        <v>5</v>
      </c>
      <c r="G21" s="85">
        <v>4</v>
      </c>
      <c r="J21" s="43" t="s">
        <v>83</v>
      </c>
      <c r="K21" s="198" t="s">
        <v>102</v>
      </c>
      <c r="L21" s="45">
        <v>0</v>
      </c>
      <c r="M21" s="147">
        <v>4.5863694813544909E-2</v>
      </c>
      <c r="N21" s="147">
        <v>6.5795113587655552E-2</v>
      </c>
      <c r="O21" s="147">
        <v>-7.0724389198455473E-3</v>
      </c>
      <c r="P21" s="147">
        <v>-9.9657093870552882E-2</v>
      </c>
      <c r="Q21" s="147">
        <v>-0.10758679811401617</v>
      </c>
      <c r="R21" s="147">
        <v>6.6652378911273402E-2</v>
      </c>
      <c r="S21" s="147">
        <v>0.2016716673810548</v>
      </c>
      <c r="T21" s="147">
        <v>0.34440634376339507</v>
      </c>
      <c r="U21" s="147">
        <v>0.2743249035576516</v>
      </c>
      <c r="V21" s="147">
        <v>0.4170595799399921</v>
      </c>
      <c r="W21" s="147">
        <v>0.26639519931418842</v>
      </c>
      <c r="X21" s="147">
        <v>-7.9297042434632981E-2</v>
      </c>
      <c r="Y21" s="147">
        <v>-0.12087441063008952</v>
      </c>
      <c r="Z21" s="147">
        <v>2.1860265752250863E-2</v>
      </c>
      <c r="AA21" s="147">
        <v>4.1577368195456987E-2</v>
      </c>
      <c r="AB21" s="147">
        <v>0.12687526789541415</v>
      </c>
      <c r="AC21" s="147">
        <v>0.31290184312044644</v>
      </c>
      <c r="AD21" s="147">
        <v>0.20595799399914339</v>
      </c>
      <c r="AE21" s="147">
        <v>0.21945992284612137</v>
      </c>
      <c r="AF21" s="147">
        <v>0.36648092584655001</v>
      </c>
      <c r="AG21" s="147">
        <v>0.47942563223317691</v>
      </c>
      <c r="AH21" s="147">
        <v>0.40462923274753626</v>
      </c>
      <c r="AI21" s="147">
        <v>0.40055722246035197</v>
      </c>
      <c r="AJ21" s="152">
        <v>0.42091727389627143</v>
      </c>
    </row>
    <row r="22" spans="2:36" ht="24" customHeight="1">
      <c r="B22" s="64" t="s">
        <v>74</v>
      </c>
      <c r="C22" s="92">
        <v>2</v>
      </c>
      <c r="D22" s="92">
        <v>6</v>
      </c>
      <c r="E22" s="92">
        <v>5</v>
      </c>
      <c r="F22" s="92">
        <v>6</v>
      </c>
      <c r="G22" s="93">
        <v>6</v>
      </c>
      <c r="J22" s="44" t="s">
        <v>84</v>
      </c>
      <c r="K22" s="197" t="s">
        <v>104</v>
      </c>
      <c r="L22" s="42">
        <v>0</v>
      </c>
      <c r="M22" s="147">
        <v>-5.6872037914692086E-2</v>
      </c>
      <c r="N22" s="147">
        <v>8.1516587677725072E-2</v>
      </c>
      <c r="O22" s="147">
        <v>6.3507109004739437E-2</v>
      </c>
      <c r="P22" s="147">
        <v>8.9099526066350743E-2</v>
      </c>
      <c r="Q22" s="147">
        <v>0.26729857819905201</v>
      </c>
      <c r="R22" s="147">
        <v>6.5402843601895633E-2</v>
      </c>
      <c r="S22" s="147">
        <v>0.24454976303317544</v>
      </c>
      <c r="T22" s="147">
        <v>0.33175355450236976</v>
      </c>
      <c r="U22" s="147">
        <v>0.45308056872037894</v>
      </c>
      <c r="V22" s="147">
        <v>0.26066350710900466</v>
      </c>
      <c r="W22" s="147">
        <v>0.23886255924170596</v>
      </c>
      <c r="X22" s="147">
        <v>1.8009478672985635E-2</v>
      </c>
      <c r="Y22" s="147">
        <v>0.10995260663507089</v>
      </c>
      <c r="Z22" s="147">
        <v>0.38767772511848309</v>
      </c>
      <c r="AJ22" s="41"/>
    </row>
    <row r="23" spans="2:36" ht="24" customHeight="1" thickBot="1">
      <c r="B23" s="65" t="s">
        <v>73</v>
      </c>
      <c r="C23" s="94">
        <v>8</v>
      </c>
      <c r="D23" s="94">
        <v>8</v>
      </c>
      <c r="E23" s="94">
        <v>8</v>
      </c>
      <c r="F23" s="94">
        <v>8</v>
      </c>
      <c r="G23" s="95">
        <v>8</v>
      </c>
      <c r="J23" s="43" t="s">
        <v>84</v>
      </c>
      <c r="K23" s="197" t="s">
        <v>102</v>
      </c>
      <c r="L23" s="42">
        <v>0</v>
      </c>
      <c r="M23" s="147">
        <v>-4.5158286778398504E-2</v>
      </c>
      <c r="N23" s="147">
        <v>0.10986964618249528</v>
      </c>
      <c r="O23" s="147">
        <v>0.13128491620111715</v>
      </c>
      <c r="P23" s="147">
        <v>0.22392923649906882</v>
      </c>
      <c r="Q23" s="147">
        <v>0.42597765363128492</v>
      </c>
      <c r="R23" s="147">
        <v>0.30982309124767227</v>
      </c>
      <c r="S23" s="147">
        <v>0.32448789571694592</v>
      </c>
      <c r="T23" s="147">
        <v>0.48417132216014891</v>
      </c>
      <c r="U23" s="147">
        <v>0.60684357541899447</v>
      </c>
      <c r="V23" s="147">
        <v>0.52560521415270034</v>
      </c>
      <c r="W23" s="147">
        <v>0.52118249534450634</v>
      </c>
      <c r="X23" s="147">
        <v>0.54329608938547458</v>
      </c>
      <c r="Y23" s="147">
        <v>0.57844506517690863</v>
      </c>
      <c r="Z23" s="147">
        <v>0.89897579143389184</v>
      </c>
      <c r="AA23" s="153"/>
      <c r="AB23" s="153"/>
      <c r="AC23" s="153"/>
      <c r="AD23" s="153"/>
      <c r="AE23" s="153"/>
      <c r="AF23" s="153"/>
      <c r="AG23" s="153"/>
      <c r="AH23" s="153"/>
      <c r="AI23" s="153"/>
      <c r="AJ23" s="154"/>
    </row>
    <row r="24" spans="2:36" ht="24" customHeight="1" thickBot="1">
      <c r="J24" s="216" t="s">
        <v>58</v>
      </c>
      <c r="K24" s="217"/>
      <c r="L24" s="40">
        <v>0</v>
      </c>
      <c r="M24" s="39">
        <f>AVERAGE(M16:M23)</f>
        <v>-1.9096000527263096E-2</v>
      </c>
      <c r="N24" s="39">
        <f t="shared" ref="N24:AJ24" si="1">AVERAGE(N16:N23)</f>
        <v>1.0170796615987049E-2</v>
      </c>
      <c r="O24" s="39">
        <f t="shared" si="1"/>
        <v>-8.7136906881388893E-3</v>
      </c>
      <c r="P24" s="39">
        <f t="shared" si="1"/>
        <v>-9.798285872383905E-3</v>
      </c>
      <c r="Q24" s="39">
        <f t="shared" si="1"/>
        <v>4.4674437890081242E-4</v>
      </c>
      <c r="R24" s="39">
        <f t="shared" si="1"/>
        <v>-6.5844811007921319E-2</v>
      </c>
      <c r="S24" s="39">
        <f t="shared" si="1"/>
        <v>-8.6611216688745746E-3</v>
      </c>
      <c r="T24" s="39">
        <f t="shared" si="1"/>
        <v>8.7045488011716313E-2</v>
      </c>
      <c r="U24" s="39">
        <f t="shared" si="1"/>
        <v>0.13581358535898999</v>
      </c>
      <c r="V24" s="39">
        <f t="shared" si="1"/>
        <v>0.15863661542894475</v>
      </c>
      <c r="W24" s="39">
        <f t="shared" si="1"/>
        <v>0.13565231793082744</v>
      </c>
      <c r="X24" s="39">
        <f t="shared" si="1"/>
        <v>3.5194980841178336E-2</v>
      </c>
      <c r="Y24" s="39">
        <f t="shared" si="1"/>
        <v>2.3792822228587168E-2</v>
      </c>
      <c r="Z24" s="39">
        <f t="shared" si="1"/>
        <v>0.12888646790651076</v>
      </c>
      <c r="AA24" s="39">
        <f t="shared" si="1"/>
        <v>1.6024176182586409E-2</v>
      </c>
      <c r="AB24" s="39">
        <f t="shared" si="1"/>
        <v>-1.219758626415903E-2</v>
      </c>
      <c r="AC24" s="39">
        <f t="shared" si="1"/>
        <v>4.8792289923761762E-3</v>
      </c>
      <c r="AD24" s="39">
        <f t="shared" si="1"/>
        <v>-3.1310412587610283E-2</v>
      </c>
      <c r="AE24" s="39">
        <f t="shared" si="1"/>
        <v>7.4940002331280731E-3</v>
      </c>
      <c r="AF24" s="39">
        <f t="shared" si="1"/>
        <v>0.12360037185775719</v>
      </c>
      <c r="AG24" s="39">
        <f t="shared" si="1"/>
        <v>0.19901053713933961</v>
      </c>
      <c r="AH24" s="39">
        <f t="shared" si="1"/>
        <v>0.19145142926828732</v>
      </c>
      <c r="AI24" s="39">
        <f t="shared" si="1"/>
        <v>0.15103533290838667</v>
      </c>
      <c r="AJ24" s="38">
        <f t="shared" si="1"/>
        <v>2.7819777966538655E-2</v>
      </c>
    </row>
    <row r="25" spans="2:36" ht="16.05" customHeigh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1.05" hidden="1"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1.05" hidden="1" customHeight="1">
      <c r="J27" s="206" t="s">
        <v>91</v>
      </c>
      <c r="K27" s="207"/>
      <c r="L27" s="158">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52">
        <v>0.15979569178065556</v>
      </c>
    </row>
    <row r="28" spans="2:36" ht="1.05" hidden="1"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0.38842044041457058</v>
      </c>
      <c r="AF28" s="147">
        <v>0.46797880909447076</v>
      </c>
      <c r="AG28" s="147">
        <v>0.43129381818358792</v>
      </c>
      <c r="AH28" s="147">
        <v>0.46996211042729796</v>
      </c>
      <c r="AI28" s="147">
        <v>0.44902672224777396</v>
      </c>
      <c r="AJ28" s="152">
        <v>0.36564289381915693</v>
      </c>
    </row>
    <row r="29" spans="2:36" ht="1.05" hidden="1"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52">
        <v>0.24249812060483178</v>
      </c>
    </row>
    <row r="30" spans="2:36" ht="1.05" hidden="1"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30" hidden="1"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0.20531230398190772</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8" spans="10:36" ht="1.05" hidden="1" customHeight="1" thickBot="1">
      <c r="J68" s="214" t="s">
        <v>133</v>
      </c>
      <c r="K68" s="21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ht="1.05" hidden="1" customHeight="1">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ht="1.05" hidden="1" customHeight="1">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ht="1.05" hidden="1" customHeight="1">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05" hidden="1" customHeight="1"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05" hidden="1" customHeight="1"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J24:K24"/>
    <mergeCell ref="F1:H1"/>
    <mergeCell ref="B2:D3"/>
    <mergeCell ref="J2:K2"/>
    <mergeCell ref="J11:K11"/>
    <mergeCell ref="J15:K15"/>
    <mergeCell ref="J73:K73"/>
    <mergeCell ref="J26:K26"/>
    <mergeCell ref="J27:K27"/>
    <mergeCell ref="J28:K28"/>
    <mergeCell ref="J29:K29"/>
    <mergeCell ref="J30:K30"/>
    <mergeCell ref="J31:K31"/>
    <mergeCell ref="J68:K68"/>
    <mergeCell ref="J69:K69"/>
    <mergeCell ref="J70:K70"/>
    <mergeCell ref="J71:K71"/>
    <mergeCell ref="J72:K72"/>
  </mergeCells>
  <phoneticPr fontId="13" type="noConversion"/>
  <conditionalFormatting sqref="C16:C23">
    <cfRule type="top10" dxfId="203" priority="7" rank="2"/>
    <cfRule type="top10" dxfId="202" priority="8" bottom="1" rank="2"/>
    <cfRule type="top10" dxfId="201" priority="9" bottom="1" rank="2"/>
    <cfRule type="top10" dxfId="200" priority="10" rank="2"/>
    <cfRule type="top10" dxfId="199" priority="11" rank="2"/>
  </conditionalFormatting>
  <conditionalFormatting sqref="C16:G23">
    <cfRule type="cellIs" dxfId="198" priority="12" operator="between">
      <formula>7</formula>
      <formula>8</formula>
    </cfRule>
    <cfRule type="cellIs" dxfId="197" priority="13" operator="between">
      <formula>1</formula>
      <formula>2</formula>
    </cfRule>
  </conditionalFormatting>
  <conditionalFormatting sqref="D16:D23">
    <cfRule type="top10" dxfId="196" priority="5" bottom="1" rank="2"/>
    <cfRule type="top10" dxfId="195" priority="6" rank="2"/>
  </conditionalFormatting>
  <conditionalFormatting sqref="E16:E23">
    <cfRule type="top10" dxfId="194" priority="3" bottom="1" rank="2"/>
    <cfRule type="top10" dxfId="193" priority="4" rank="2"/>
  </conditionalFormatting>
  <conditionalFormatting sqref="F3">
    <cfRule type="cellIs" dxfId="192" priority="2" operator="equal">
      <formula>"GOOD"</formula>
    </cfRule>
    <cfRule type="cellIs" dxfId="191" priority="15" operator="equal">
      <formula>"GOOD"</formula>
    </cfRule>
    <cfRule type="top10" dxfId="190" priority="16" percent="1" rank="10"/>
  </conditionalFormatting>
  <conditionalFormatting sqref="G3">
    <cfRule type="cellIs" dxfId="189" priority="1" operator="equal">
      <formula>"BAD"</formula>
    </cfRule>
    <cfRule type="cellIs" dxfId="188" priority="14" operator="equal">
      <formula>"BAD"</formula>
    </cfRule>
  </conditionalFormatting>
  <pageMargins left="0.7" right="0.7" top="0.75" bottom="0.75" header="0.3" footer="0.3"/>
  <pageSetup paperSize="9"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B1467-EA2F-0041-B6F3-61FDA6AFCCE4}">
  <dimension ref="B1:AJ73"/>
  <sheetViews>
    <sheetView zoomScale="61" zoomScaleNormal="61" workbookViewId="0">
      <selection activeCell="I25" sqref="I25"/>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18"/>
      <c r="G1" s="219"/>
      <c r="H1" s="219"/>
    </row>
    <row r="2" spans="2:36" ht="24" customHeight="1" thickBot="1">
      <c r="B2" s="220" t="s">
        <v>127</v>
      </c>
      <c r="C2" s="221"/>
      <c r="D2" s="222"/>
      <c r="J2" s="226" t="s">
        <v>60</v>
      </c>
      <c r="K2" s="227"/>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23"/>
      <c r="C3" s="224"/>
      <c r="D3" s="225"/>
      <c r="F3" s="188" t="s">
        <v>130</v>
      </c>
      <c r="G3" s="189" t="s">
        <v>129</v>
      </c>
      <c r="J3" s="48" t="s">
        <v>81</v>
      </c>
      <c r="K3" s="66" t="s">
        <v>70</v>
      </c>
      <c r="L3" s="42">
        <v>0</v>
      </c>
      <c r="M3" s="147">
        <v>2.0032995522036412E-2</v>
      </c>
      <c r="N3" s="147">
        <v>1.1784115012962726E-3</v>
      </c>
      <c r="O3" s="147">
        <v>-0.21140702333254768</v>
      </c>
      <c r="P3" s="147">
        <v>-0.16780579778458626</v>
      </c>
      <c r="Q3" s="147">
        <v>-0.19868017911854818</v>
      </c>
      <c r="R3" s="147">
        <v>-0.32665566815932123</v>
      </c>
      <c r="S3" s="147">
        <v>-0.20645769502710343</v>
      </c>
      <c r="T3" s="147">
        <v>-0.12868253594155077</v>
      </c>
      <c r="U3" s="147">
        <v>-0.2649069054913975</v>
      </c>
      <c r="V3" s="147">
        <v>-0.21894885694084365</v>
      </c>
      <c r="W3" s="147">
        <v>-0.26302144708932351</v>
      </c>
      <c r="X3" s="147">
        <v>-0.2858826302144708</v>
      </c>
      <c r="Y3" s="147">
        <v>-0.33160499646476538</v>
      </c>
      <c r="Z3" s="147">
        <v>-0.34103228847513534</v>
      </c>
      <c r="AA3" s="147">
        <v>-0.20103700212114051</v>
      </c>
      <c r="AB3" s="147">
        <v>-0.24228140466650938</v>
      </c>
      <c r="AC3" s="147">
        <v>-0.29908083902898874</v>
      </c>
      <c r="AD3" s="147">
        <v>-0.39948149893942952</v>
      </c>
      <c r="AE3" s="147">
        <v>-0.50412444025453684</v>
      </c>
      <c r="AF3" s="147">
        <v>-0.4296488333726135</v>
      </c>
      <c r="AG3" s="147">
        <v>-0.35564459109120872</v>
      </c>
      <c r="AH3" s="147">
        <v>-0.32901249116191345</v>
      </c>
      <c r="AI3" s="147">
        <v>-0.23073297195380593</v>
      </c>
      <c r="AJ3" s="152">
        <v>-0.34480320527928321</v>
      </c>
    </row>
    <row r="4" spans="2:36" ht="24" customHeight="1" thickBot="1">
      <c r="J4" s="43" t="s">
        <v>81</v>
      </c>
      <c r="K4" s="67" t="s">
        <v>74</v>
      </c>
      <c r="L4" s="45">
        <v>0</v>
      </c>
      <c r="M4" s="147">
        <v>8.9301121656600424E-2</v>
      </c>
      <c r="N4" s="147">
        <v>2.7394305435720412E-2</v>
      </c>
      <c r="O4" s="147">
        <v>-0.235979292493529</v>
      </c>
      <c r="P4" s="147">
        <v>-0.20729076790336509</v>
      </c>
      <c r="Q4" s="147">
        <v>-0.24482312338222623</v>
      </c>
      <c r="R4" s="147">
        <v>-0.29831751509922355</v>
      </c>
      <c r="S4" s="147">
        <v>-7.0750647109577458E-2</v>
      </c>
      <c r="T4" s="147">
        <v>-4.7238999137187432E-2</v>
      </c>
      <c r="U4" s="147">
        <v>-0.1867989646246766</v>
      </c>
      <c r="V4" s="147">
        <v>5.6082830025884212E-2</v>
      </c>
      <c r="W4" s="147">
        <v>0.12079378774805849</v>
      </c>
      <c r="X4" s="147">
        <v>-4.5513373597929396E-2</v>
      </c>
      <c r="Y4" s="147">
        <v>-5.5220017256255582E-2</v>
      </c>
      <c r="Z4" s="147">
        <v>2.3943054357204119E-2</v>
      </c>
      <c r="AA4" s="147">
        <v>0.18356341673856713</v>
      </c>
      <c r="AB4" s="147">
        <v>0.17148403796376144</v>
      </c>
      <c r="AC4" s="147">
        <v>7.441760138050002E-2</v>
      </c>
      <c r="AD4" s="147">
        <v>-8.7575496117342944E-2</v>
      </c>
      <c r="AE4" s="147">
        <v>-0.24482312338222634</v>
      </c>
      <c r="AF4" s="147">
        <v>-0.15012942191544465</v>
      </c>
      <c r="AG4" s="147">
        <v>-0.11000862812769663</v>
      </c>
      <c r="AH4" s="147">
        <v>-0.10742018981880963</v>
      </c>
      <c r="AI4" s="147">
        <v>-1.87661777394309E-2</v>
      </c>
      <c r="AJ4" s="152">
        <v>3.2786885245901232E-2</v>
      </c>
    </row>
    <row r="5" spans="2:36" ht="24" customHeight="1">
      <c r="B5" s="51"/>
      <c r="C5" s="50">
        <v>2021</v>
      </c>
      <c r="D5" s="50">
        <v>2022</v>
      </c>
      <c r="E5" s="50">
        <v>2023</v>
      </c>
      <c r="F5" s="50">
        <v>2024</v>
      </c>
      <c r="G5" s="49">
        <v>2025</v>
      </c>
      <c r="J5" s="44" t="s">
        <v>82</v>
      </c>
      <c r="K5" s="68" t="s">
        <v>70</v>
      </c>
      <c r="L5" s="46">
        <v>0</v>
      </c>
      <c r="M5" s="147">
        <v>-6.4026402640264046E-2</v>
      </c>
      <c r="N5" s="147">
        <v>-7.7227722772277185E-2</v>
      </c>
      <c r="O5" s="147">
        <v>0.11881188118811892</v>
      </c>
      <c r="P5" s="147">
        <v>6.1056105610561184E-2</v>
      </c>
      <c r="Q5" s="147">
        <v>-1.848184818481835E-2</v>
      </c>
      <c r="R5" s="147">
        <v>-0.15907590759075896</v>
      </c>
      <c r="S5" s="147">
        <v>-0.30561056105610551</v>
      </c>
      <c r="T5" s="147">
        <v>-0.20132013201320109</v>
      </c>
      <c r="U5" s="147">
        <v>-9.7689768976897406E-2</v>
      </c>
      <c r="V5" s="147">
        <v>-6.0396039603960117E-2</v>
      </c>
      <c r="W5" s="147">
        <v>7.7227722772277518E-2</v>
      </c>
      <c r="X5" s="147">
        <v>-8.2508250825082285E-2</v>
      </c>
      <c r="Y5" s="147">
        <v>-0.18052805280528039</v>
      </c>
      <c r="Z5" s="147">
        <v>-0.15181518151815154</v>
      </c>
      <c r="AA5" s="147">
        <v>-9.6039603960395792E-2</v>
      </c>
      <c r="AB5" s="147">
        <v>-0.14356435643564336</v>
      </c>
      <c r="AC5" s="147">
        <v>-8.0528052805280192E-2</v>
      </c>
      <c r="AD5" s="147">
        <v>-5.77557755775574E-2</v>
      </c>
      <c r="AE5" s="147">
        <v>-2.1782178217821357E-2</v>
      </c>
      <c r="AF5" s="147">
        <v>3.5313531353135641E-2</v>
      </c>
      <c r="AG5" s="147">
        <v>7.5577557755776015E-2</v>
      </c>
      <c r="AH5" s="147">
        <v>-1.2541254125412182E-2</v>
      </c>
      <c r="AI5" s="147">
        <v>-9.9009900990065791E-4</v>
      </c>
      <c r="AJ5" s="152">
        <v>7.9867986798680013E-2</v>
      </c>
    </row>
    <row r="6" spans="2:36" ht="24" customHeight="1">
      <c r="B6" s="47" t="s">
        <v>69</v>
      </c>
      <c r="C6" s="138">
        <f>-1670/66467</f>
        <v>-2.5125250124121746E-2</v>
      </c>
      <c r="D6" s="139">
        <f>-6227/64716</f>
        <v>-9.6220409172383961E-2</v>
      </c>
      <c r="E6" s="139">
        <f>-8490/63058</f>
        <v>-0.13463795236131815</v>
      </c>
      <c r="F6" s="139">
        <f>-11141/61783</f>
        <v>-0.18032468478384023</v>
      </c>
      <c r="G6" s="140">
        <f>-12287/61774</f>
        <v>-0.19890245086929775</v>
      </c>
      <c r="H6" s="1"/>
      <c r="J6" s="43" t="s">
        <v>82</v>
      </c>
      <c r="K6" s="67" t="s">
        <v>72</v>
      </c>
      <c r="L6" s="45">
        <v>0</v>
      </c>
      <c r="M6" s="147">
        <v>0.12969628796400445</v>
      </c>
      <c r="N6" s="147">
        <v>5.9955005624297009E-2</v>
      </c>
      <c r="O6" s="147">
        <v>0.37289088863891995</v>
      </c>
      <c r="P6" s="147">
        <v>0.34488188976377954</v>
      </c>
      <c r="Q6" s="147">
        <v>-3.4083239595050552E-2</v>
      </c>
      <c r="R6" s="147">
        <v>-0.15950506186726654</v>
      </c>
      <c r="S6" s="147">
        <v>-0.27154105736782885</v>
      </c>
      <c r="T6" s="147">
        <v>-0.25106861642294709</v>
      </c>
      <c r="U6" s="147">
        <v>-8.7514060742406974E-2</v>
      </c>
      <c r="V6" s="147">
        <v>-0.13397075365579292</v>
      </c>
      <c r="W6" s="147">
        <v>-0.1960629921259841</v>
      </c>
      <c r="X6" s="147">
        <v>-0.1627671541057365</v>
      </c>
      <c r="Y6" s="147">
        <v>-0.39268841394825627</v>
      </c>
      <c r="Z6" s="147">
        <v>-0.40787401574803139</v>
      </c>
      <c r="AA6" s="147">
        <v>-0.43498312710911136</v>
      </c>
      <c r="AB6" s="147">
        <v>-0.36929133858267715</v>
      </c>
      <c r="AC6" s="147">
        <v>-0.52665916760404952</v>
      </c>
      <c r="AD6" s="147">
        <v>-0.38065241844769404</v>
      </c>
      <c r="AE6" s="147">
        <v>-0.26872890888638923</v>
      </c>
      <c r="AF6" s="147">
        <v>-7.9415073115860602E-2</v>
      </c>
      <c r="AG6" s="147">
        <v>5.8717660292463503E-2</v>
      </c>
      <c r="AH6" s="147">
        <v>0.152193475815523</v>
      </c>
      <c r="AI6" s="147">
        <v>-0.17322834645669305</v>
      </c>
      <c r="AJ6" s="152">
        <v>-0.41901012373453328</v>
      </c>
    </row>
    <row r="7" spans="2:36" ht="24" customHeight="1">
      <c r="B7" s="47" t="s">
        <v>70</v>
      </c>
      <c r="C7" s="141">
        <v>0.5380883066472586</v>
      </c>
      <c r="D7" s="142">
        <v>0.33938558185857659</v>
      </c>
      <c r="E7" s="142">
        <v>0.14185522250981047</v>
      </c>
      <c r="F7" s="142">
        <v>-0.10865322055953155</v>
      </c>
      <c r="G7" s="143">
        <f>-5276/3688</f>
        <v>-1.4305856832971799</v>
      </c>
      <c r="H7" s="1"/>
      <c r="J7" s="44" t="s">
        <v>83</v>
      </c>
      <c r="K7" s="68" t="s">
        <v>70</v>
      </c>
      <c r="L7" s="46">
        <v>0</v>
      </c>
      <c r="M7" s="147">
        <v>-0.10683453237410079</v>
      </c>
      <c r="N7" s="147">
        <v>-7.5539568345323715E-2</v>
      </c>
      <c r="O7" s="147">
        <v>-1.4748201438848918E-2</v>
      </c>
      <c r="P7" s="147">
        <v>-6.6546762589928088E-2</v>
      </c>
      <c r="Q7" s="147">
        <v>2.1582733812950394E-3</v>
      </c>
      <c r="R7" s="147">
        <v>2.6978417266187105E-2</v>
      </c>
      <c r="S7" s="147">
        <v>6.6187050359712396E-2</v>
      </c>
      <c r="T7" s="147">
        <v>0.12841726618705041</v>
      </c>
      <c r="U7" s="147">
        <v>0.17230215827338147</v>
      </c>
      <c r="V7" s="147">
        <v>7.6258992805755543E-2</v>
      </c>
      <c r="W7" s="147">
        <v>8.8848920863309422E-2</v>
      </c>
      <c r="X7" s="147">
        <v>0.17697841726618702</v>
      </c>
      <c r="Y7" s="147">
        <v>-1.4028776978417201E-2</v>
      </c>
      <c r="Z7" s="147">
        <v>0.17697841726618702</v>
      </c>
      <c r="AA7" s="147">
        <v>0.14388489208633093</v>
      </c>
      <c r="AB7" s="147">
        <v>9.676258992805753E-2</v>
      </c>
      <c r="AC7" s="147">
        <v>0.16654676258992795</v>
      </c>
      <c r="AD7" s="147">
        <v>0.13165467625899274</v>
      </c>
      <c r="AE7" s="147">
        <v>8.0575539568345178E-2</v>
      </c>
      <c r="AF7" s="147">
        <v>0.24136690647481984</v>
      </c>
      <c r="AG7" s="147">
        <v>0.47374100719424428</v>
      </c>
      <c r="AH7" s="147">
        <v>0.70215827338129477</v>
      </c>
      <c r="AI7" s="147">
        <v>0.76438848920863278</v>
      </c>
      <c r="AJ7" s="152">
        <v>0.34568345323740979</v>
      </c>
    </row>
    <row r="8" spans="2:36" ht="24" customHeight="1">
      <c r="B8" s="47" t="s">
        <v>71</v>
      </c>
      <c r="C8" s="141">
        <v>-6.8240850059031882E-2</v>
      </c>
      <c r="D8" s="142">
        <v>-0.11891531451433653</v>
      </c>
      <c r="E8" s="142">
        <v>-0.15762066893651111</v>
      </c>
      <c r="F8" s="142">
        <v>-0.14009426296115701</v>
      </c>
      <c r="G8" s="143">
        <v>-0.15858725761772854</v>
      </c>
      <c r="J8" s="43" t="s">
        <v>83</v>
      </c>
      <c r="K8" s="67" t="s">
        <v>74</v>
      </c>
      <c r="L8" s="45">
        <v>0</v>
      </c>
      <c r="M8" s="147">
        <v>7.4770258980785265E-2</v>
      </c>
      <c r="N8" s="147">
        <v>0.10672514619883056</v>
      </c>
      <c r="O8" s="147">
        <v>1.6290726817042689E-2</v>
      </c>
      <c r="P8" s="147">
        <v>-5.1378446115288079E-2</v>
      </c>
      <c r="Q8" s="147">
        <v>-8.0200501253132717E-2</v>
      </c>
      <c r="R8" s="147">
        <v>0.19172932330827086</v>
      </c>
      <c r="S8" s="147">
        <v>0.63450292397660846</v>
      </c>
      <c r="T8" s="147">
        <v>1.0223475355054301</v>
      </c>
      <c r="U8" s="147">
        <v>1.0279866332497911</v>
      </c>
      <c r="V8" s="147">
        <v>1.2105263157894739</v>
      </c>
      <c r="W8" s="147">
        <v>0.95927318295739372</v>
      </c>
      <c r="X8" s="147">
        <v>0.44214703425229751</v>
      </c>
      <c r="Y8" s="147">
        <v>0.43734335839599003</v>
      </c>
      <c r="Z8" s="147">
        <v>0.65914786967418548</v>
      </c>
      <c r="AA8" s="147">
        <v>0.66311612364243966</v>
      </c>
      <c r="AB8" s="147">
        <v>0.84440267335004227</v>
      </c>
      <c r="AC8" s="147">
        <v>1.1929824561403515</v>
      </c>
      <c r="AD8" s="147">
        <v>1.0154553049289894</v>
      </c>
      <c r="AE8" s="147">
        <v>0.96407685881370142</v>
      </c>
      <c r="AF8" s="147">
        <v>1.1294903926482878</v>
      </c>
      <c r="AG8" s="147">
        <v>1.3354218880534678</v>
      </c>
      <c r="AH8" s="147">
        <v>1.1370091896407692</v>
      </c>
      <c r="AI8" s="147">
        <v>1.2201336675020893</v>
      </c>
      <c r="AJ8" s="152">
        <v>0.92293233082706805</v>
      </c>
    </row>
    <row r="9" spans="2:36" ht="24" customHeight="1">
      <c r="B9" s="47" t="s">
        <v>72</v>
      </c>
      <c r="C9" s="141">
        <f>675366/39901073</f>
        <v>1.6926010987223326E-2</v>
      </c>
      <c r="D9" s="142">
        <f>404438/4511297</f>
        <v>8.9650049642043081E-2</v>
      </c>
      <c r="E9" s="142">
        <f>-211177/4869410</f>
        <v>-4.3368087714938768E-2</v>
      </c>
      <c r="F9" s="142">
        <f>-285799/4429852</f>
        <v>-6.4516602360530334E-2</v>
      </c>
      <c r="G9" s="143">
        <f>-50809/4209204</f>
        <v>-1.2070928375056186E-2</v>
      </c>
      <c r="J9" s="44" t="s">
        <v>84</v>
      </c>
      <c r="K9" s="66" t="s">
        <v>76</v>
      </c>
      <c r="L9" s="42">
        <v>0</v>
      </c>
      <c r="M9" s="147">
        <v>-0.10056887444128393</v>
      </c>
      <c r="N9" s="147">
        <v>3.474197480698904E-2</v>
      </c>
      <c r="O9" s="147">
        <v>5.2824055262088443E-3</v>
      </c>
      <c r="P9" s="147">
        <v>7.5985371800081358E-2</v>
      </c>
      <c r="Q9" s="147">
        <v>0.27549776513612367</v>
      </c>
      <c r="R9" s="147">
        <v>1.1377488825680793E-2</v>
      </c>
      <c r="S9" s="147">
        <v>-0.15217391304347827</v>
      </c>
      <c r="T9" s="147">
        <v>-0.12921576594880113</v>
      </c>
      <c r="U9" s="147">
        <v>2.1942299878098481E-2</v>
      </c>
      <c r="V9" s="147">
        <v>3.2710280373831946E-2</v>
      </c>
      <c r="W9" s="147">
        <v>4.8354327509142925E-2</v>
      </c>
      <c r="X9" s="147">
        <v>-0.25274278748476209</v>
      </c>
      <c r="Y9" s="147">
        <v>-0.20540430719219804</v>
      </c>
      <c r="Z9" s="147">
        <v>-6.5014221861031785E-2</v>
      </c>
      <c r="AJ9" s="41"/>
    </row>
    <row r="10" spans="2:36" ht="24" customHeight="1" thickBot="1">
      <c r="B10" s="63" t="s">
        <v>75</v>
      </c>
      <c r="C10" s="141">
        <v>-5.0892409146297756E-3</v>
      </c>
      <c r="D10" s="142">
        <v>-0.10242492598336388</v>
      </c>
      <c r="E10" s="142">
        <v>-0.1200301101758708</v>
      </c>
      <c r="F10" s="142">
        <v>-0.12064953460137597</v>
      </c>
      <c r="G10" s="143">
        <v>-0.16320416482491037</v>
      </c>
      <c r="J10" s="43" t="s">
        <v>84</v>
      </c>
      <c r="K10" s="66" t="s">
        <v>74</v>
      </c>
      <c r="L10" s="42">
        <v>0</v>
      </c>
      <c r="M10" s="147">
        <v>-3.3309196234613259E-3</v>
      </c>
      <c r="N10" s="147">
        <v>0.15047067342505427</v>
      </c>
      <c r="O10" s="147">
        <v>0.1532223026792181</v>
      </c>
      <c r="P10" s="147">
        <v>0.27892831281679986</v>
      </c>
      <c r="Q10" s="147">
        <v>0.52063721940622787</v>
      </c>
      <c r="R10" s="147">
        <v>0.39753801593048554</v>
      </c>
      <c r="S10" s="147">
        <v>0.36191165821868254</v>
      </c>
      <c r="T10" s="147">
        <v>0.47661115133960918</v>
      </c>
      <c r="U10" s="147">
        <v>0.61940622737147022</v>
      </c>
      <c r="V10" s="147">
        <v>0.48182476466328783</v>
      </c>
      <c r="W10" s="147">
        <v>0.53946415640839995</v>
      </c>
      <c r="X10" s="147">
        <v>0.33338160753077495</v>
      </c>
      <c r="Y10" s="147">
        <v>0.30340333091962357</v>
      </c>
      <c r="Z10" s="147">
        <v>0.77366892545982546</v>
      </c>
      <c r="AA10" s="153"/>
      <c r="AB10" s="153"/>
      <c r="AC10" s="153"/>
      <c r="AD10" s="153"/>
      <c r="AE10" s="153"/>
      <c r="AF10" s="153"/>
      <c r="AG10" s="153"/>
      <c r="AH10" s="153"/>
      <c r="AI10" s="153"/>
      <c r="AJ10" s="154"/>
    </row>
    <row r="11" spans="2:36" ht="24" customHeight="1" thickBot="1">
      <c r="B11" s="47" t="s">
        <v>76</v>
      </c>
      <c r="C11" s="141">
        <v>-1.2608121976249817E-2</v>
      </c>
      <c r="D11" s="142">
        <v>-0.14043694902261403</v>
      </c>
      <c r="E11" s="142">
        <v>-0.10596982603046272</v>
      </c>
      <c r="F11" s="142">
        <v>2.2385844071017159E-2</v>
      </c>
      <c r="G11" s="143">
        <v>-7.0247435123717561E-2</v>
      </c>
      <c r="J11" s="216" t="s">
        <v>58</v>
      </c>
      <c r="K11" s="217"/>
      <c r="L11" s="40">
        <v>0</v>
      </c>
      <c r="M11" s="39">
        <f t="shared" ref="M11:AJ11" si="0">AVERAGE(M3:M10)</f>
        <v>4.8799918805395581E-3</v>
      </c>
      <c r="N11" s="39">
        <f t="shared" si="0"/>
        <v>2.8462278234323332E-2</v>
      </c>
      <c r="O11" s="39">
        <f t="shared" si="0"/>
        <v>2.5545460948072862E-2</v>
      </c>
      <c r="P11" s="39">
        <f t="shared" si="0"/>
        <v>3.3478738199756802E-2</v>
      </c>
      <c r="Q11" s="39">
        <f t="shared" si="0"/>
        <v>2.7753045798733819E-2</v>
      </c>
      <c r="R11" s="39">
        <f t="shared" si="0"/>
        <v>-3.9491363423243248E-2</v>
      </c>
      <c r="S11" s="39">
        <f t="shared" si="0"/>
        <v>7.0084698688637342E-3</v>
      </c>
      <c r="T11" s="39">
        <f t="shared" si="0"/>
        <v>0.10873123794605027</v>
      </c>
      <c r="U11" s="39">
        <f t="shared" si="0"/>
        <v>0.15059095236717035</v>
      </c>
      <c r="V11" s="39">
        <f t="shared" si="0"/>
        <v>0.18051094168220461</v>
      </c>
      <c r="W11" s="39">
        <f t="shared" si="0"/>
        <v>0.17185970738040929</v>
      </c>
      <c r="X11" s="39">
        <f t="shared" si="0"/>
        <v>1.53866078526598E-2</v>
      </c>
      <c r="Y11" s="39">
        <f t="shared" si="0"/>
        <v>-5.4840984416194907E-2</v>
      </c>
      <c r="Z11" s="39">
        <f t="shared" si="0"/>
        <v>8.3500319894381503E-2</v>
      </c>
      <c r="AA11" s="39">
        <f t="shared" si="0"/>
        <v>4.3084116546115013E-2</v>
      </c>
      <c r="AB11" s="39">
        <f t="shared" si="0"/>
        <v>5.958536692617189E-2</v>
      </c>
      <c r="AC11" s="39">
        <f t="shared" si="0"/>
        <v>8.7946460112076838E-2</v>
      </c>
      <c r="AD11" s="39">
        <f t="shared" si="0"/>
        <v>3.694079868432637E-2</v>
      </c>
      <c r="AE11" s="39">
        <f t="shared" si="0"/>
        <v>8.6562460684547204E-4</v>
      </c>
      <c r="AF11" s="39">
        <f t="shared" si="0"/>
        <v>0.12449625034538742</v>
      </c>
      <c r="AG11" s="39">
        <f t="shared" si="0"/>
        <v>0.24630081567950771</v>
      </c>
      <c r="AH11" s="39">
        <f t="shared" si="0"/>
        <v>0.25706450062190861</v>
      </c>
      <c r="AI11" s="39">
        <f t="shared" si="0"/>
        <v>0.26013409359181527</v>
      </c>
      <c r="AJ11" s="38">
        <f t="shared" si="0"/>
        <v>0.10290955451587376</v>
      </c>
    </row>
    <row r="12" spans="2:36" ht="24" customHeight="1">
      <c r="B12" s="64" t="s">
        <v>74</v>
      </c>
      <c r="C12" s="141">
        <f>3530/68175</f>
        <v>5.177851118445178E-2</v>
      </c>
      <c r="D12" s="142">
        <f>-2145/67358</f>
        <v>-3.1844769737818822E-2</v>
      </c>
      <c r="E12" s="142">
        <f>-1505/71104</f>
        <v>-2.1166179117911792E-2</v>
      </c>
      <c r="F12" s="142">
        <f>-4431/74083</f>
        <v>-5.9811292739224926E-2</v>
      </c>
      <c r="G12" s="143">
        <f>-9276/76448</f>
        <v>-0.12133737965676016</v>
      </c>
    </row>
    <row r="13" spans="2:36" ht="24" customHeight="1" thickBot="1">
      <c r="B13" s="65" t="s">
        <v>73</v>
      </c>
      <c r="C13" s="144">
        <f>-5026/72459</f>
        <v>-6.9363364109358394E-2</v>
      </c>
      <c r="D13" s="145">
        <f>-12929/72288</f>
        <v>-0.17885402833111996</v>
      </c>
      <c r="E13" s="145">
        <f>-16149/73644</f>
        <v>-0.21928466677529737</v>
      </c>
      <c r="F13" s="145">
        <f>-16826/75372</f>
        <v>-0.22323939924640451</v>
      </c>
      <c r="G13" s="146">
        <f>-16656/81317</f>
        <v>-0.20482801874146858</v>
      </c>
    </row>
    <row r="14" spans="2:36" ht="24" customHeight="1" thickBot="1"/>
    <row r="15" spans="2:36" ht="24" customHeight="1" thickBot="1">
      <c r="B15" s="51"/>
      <c r="C15" s="50">
        <v>2021</v>
      </c>
      <c r="D15" s="50">
        <v>2022</v>
      </c>
      <c r="E15" s="50">
        <v>2023</v>
      </c>
      <c r="F15" s="50">
        <v>2024</v>
      </c>
      <c r="G15" s="49">
        <v>2025</v>
      </c>
      <c r="J15" s="228" t="s">
        <v>59</v>
      </c>
      <c r="K15" s="229"/>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6</v>
      </c>
      <c r="D16" s="84">
        <v>4</v>
      </c>
      <c r="E16" s="84">
        <v>6</v>
      </c>
      <c r="F16" s="84">
        <v>7</v>
      </c>
      <c r="G16" s="85">
        <v>6</v>
      </c>
      <c r="J16" s="48" t="s">
        <v>81</v>
      </c>
      <c r="K16" s="197" t="s">
        <v>73</v>
      </c>
      <c r="L16" s="42">
        <v>0</v>
      </c>
      <c r="M16" s="147">
        <v>8.7490206320188113E-2</v>
      </c>
      <c r="N16" s="147">
        <v>5.3538782972055499E-2</v>
      </c>
      <c r="O16" s="147">
        <v>-0.26795507965526244</v>
      </c>
      <c r="P16" s="147">
        <v>-0.19639592582919829</v>
      </c>
      <c r="Q16" s="147">
        <v>-0.2149386262731785</v>
      </c>
      <c r="R16" s="147">
        <v>-0.29093758161399852</v>
      </c>
      <c r="S16" s="147">
        <v>-0.14259597806215729</v>
      </c>
      <c r="T16" s="147">
        <v>-0.10603290676416832</v>
      </c>
      <c r="U16" s="147">
        <v>-0.16949595194567779</v>
      </c>
      <c r="V16" s="147">
        <v>-1.2013580569339322E-2</v>
      </c>
      <c r="W16" s="147">
        <v>-3.1078610603290646E-2</v>
      </c>
      <c r="X16" s="147">
        <v>-0.1175241577435362</v>
      </c>
      <c r="Y16" s="147">
        <v>-0.1329328806476886</v>
      </c>
      <c r="Z16" s="147">
        <v>-8.2005745625489679E-2</v>
      </c>
      <c r="AA16" s="147">
        <v>0.2013580569339255</v>
      </c>
      <c r="AB16" s="147">
        <v>0.16897362235570657</v>
      </c>
      <c r="AC16" s="147">
        <v>8.5923217550274211E-2</v>
      </c>
      <c r="AD16" s="147">
        <v>-6.2940715591538243E-2</v>
      </c>
      <c r="AE16" s="147">
        <v>-0.20867067119352312</v>
      </c>
      <c r="AF16" s="147">
        <v>-6.2157221206581403E-2</v>
      </c>
      <c r="AG16" s="147">
        <v>2.1676677983807568E-2</v>
      </c>
      <c r="AH16" s="147">
        <v>-6.0067902846696608E-3</v>
      </c>
      <c r="AI16" s="147">
        <v>7.3387307390963663E-2</v>
      </c>
      <c r="AJ16" s="152">
        <v>0.21859493340297709</v>
      </c>
    </row>
    <row r="17" spans="2:36" ht="24" customHeight="1">
      <c r="B17" s="47" t="s">
        <v>70</v>
      </c>
      <c r="C17" s="84">
        <v>1</v>
      </c>
      <c r="D17" s="84">
        <v>1</v>
      </c>
      <c r="E17" s="84">
        <v>1</v>
      </c>
      <c r="F17" s="84">
        <v>4</v>
      </c>
      <c r="G17" s="85">
        <v>8</v>
      </c>
      <c r="J17" s="43" t="s">
        <v>81</v>
      </c>
      <c r="K17" s="197" t="s">
        <v>71</v>
      </c>
      <c r="L17" s="45">
        <v>0</v>
      </c>
      <c r="M17" s="147">
        <v>-6.3548102383053862E-2</v>
      </c>
      <c r="N17" s="147">
        <v>-5.1191526919682206E-2</v>
      </c>
      <c r="O17" s="147">
        <v>-0.17299205648720217</v>
      </c>
      <c r="P17" s="147">
        <v>0.27802294792586069</v>
      </c>
      <c r="Q17" s="147">
        <v>0.13857016769638153</v>
      </c>
      <c r="R17" s="147">
        <v>-0.14386584289496906</v>
      </c>
      <c r="S17" s="147">
        <v>0.15710503089143879</v>
      </c>
      <c r="T17" s="147">
        <v>0.15092674315975296</v>
      </c>
      <c r="U17" s="147">
        <v>-9.3556928508384707E-2</v>
      </c>
      <c r="V17" s="147">
        <v>0.1103265666372466</v>
      </c>
      <c r="W17" s="147">
        <v>3.7952338923213036E-2</v>
      </c>
      <c r="X17" s="147">
        <v>-0.13150926743159719</v>
      </c>
      <c r="Y17" s="147">
        <v>-0.1624007060900261</v>
      </c>
      <c r="Z17" s="147">
        <v>-0.27360988526037033</v>
      </c>
      <c r="AA17" s="147">
        <v>-0.14651368049426261</v>
      </c>
      <c r="AB17" s="147">
        <v>-0.17917034421888745</v>
      </c>
      <c r="AC17" s="147">
        <v>-0.44571932921447455</v>
      </c>
      <c r="AD17" s="147">
        <v>-0.57281553398058227</v>
      </c>
      <c r="AE17" s="147">
        <v>-0.70079435127978806</v>
      </c>
      <c r="AF17" s="147">
        <v>-0.6548984995586935</v>
      </c>
      <c r="AG17" s="147">
        <v>-0.51809355692850811</v>
      </c>
      <c r="AH17" s="147">
        <v>-0.57016769638128828</v>
      </c>
      <c r="AI17" s="147">
        <v>-0.38746690203000833</v>
      </c>
      <c r="AJ17" s="152">
        <v>-0.28420123565754574</v>
      </c>
    </row>
    <row r="18" spans="2:36" ht="24" customHeight="1">
      <c r="B18" s="47" t="s">
        <v>71</v>
      </c>
      <c r="C18" s="86">
        <v>7</v>
      </c>
      <c r="D18" s="86">
        <v>6</v>
      </c>
      <c r="E18" s="86">
        <v>7</v>
      </c>
      <c r="F18" s="86">
        <v>6</v>
      </c>
      <c r="G18" s="87">
        <v>4</v>
      </c>
      <c r="J18" s="44" t="s">
        <v>82</v>
      </c>
      <c r="K18" s="199" t="s">
        <v>73</v>
      </c>
      <c r="L18" s="46">
        <v>0</v>
      </c>
      <c r="M18" s="147">
        <v>-1.7460787215152318E-2</v>
      </c>
      <c r="N18" s="147">
        <v>4.0248594258656345E-2</v>
      </c>
      <c r="O18" s="147">
        <v>0.36134951168984908</v>
      </c>
      <c r="P18" s="147">
        <v>0.32465226398342706</v>
      </c>
      <c r="Q18" s="147">
        <v>0.23054158034921568</v>
      </c>
      <c r="R18" s="147">
        <v>6.1852619118082375E-2</v>
      </c>
      <c r="S18" s="147">
        <v>-0.10328499556081672</v>
      </c>
      <c r="T18" s="147">
        <v>6.2740455756140845E-2</v>
      </c>
      <c r="U18" s="147">
        <v>0.15773897602841069</v>
      </c>
      <c r="V18" s="147">
        <v>0.12636874815034038</v>
      </c>
      <c r="W18" s="147">
        <v>0.21633619414027816</v>
      </c>
      <c r="X18" s="147">
        <v>0.38088191772713809</v>
      </c>
      <c r="Y18" s="147">
        <v>0.44421426457531821</v>
      </c>
      <c r="Z18" s="147">
        <v>0.47173720035513478</v>
      </c>
      <c r="AA18" s="147">
        <v>0.3711157147084938</v>
      </c>
      <c r="AB18" s="147">
        <v>0.24326723882805568</v>
      </c>
      <c r="AC18" s="147">
        <v>0.23231725362533306</v>
      </c>
      <c r="AD18" s="147">
        <v>0.47292098253921311</v>
      </c>
      <c r="AE18" s="147">
        <v>0.65936667653151848</v>
      </c>
      <c r="AF18" s="147">
        <v>0.85646641018052705</v>
      </c>
      <c r="AG18" s="147">
        <v>0.75969221663214026</v>
      </c>
      <c r="AH18" s="147">
        <v>0.95679195028114905</v>
      </c>
      <c r="AI18" s="147">
        <v>0.74874223142941765</v>
      </c>
      <c r="AJ18" s="152">
        <v>0.27138206569991175</v>
      </c>
    </row>
    <row r="19" spans="2:36" ht="24" customHeight="1">
      <c r="B19" s="47" t="s">
        <v>72</v>
      </c>
      <c r="C19" s="86">
        <v>3</v>
      </c>
      <c r="D19" s="86">
        <v>2</v>
      </c>
      <c r="E19" s="86">
        <v>3</v>
      </c>
      <c r="F19" s="86">
        <v>3</v>
      </c>
      <c r="G19" s="87">
        <v>1</v>
      </c>
      <c r="J19" s="201" t="s">
        <v>82</v>
      </c>
      <c r="K19" s="197" t="s">
        <v>76</v>
      </c>
      <c r="L19" s="45">
        <v>0</v>
      </c>
      <c r="M19" s="147">
        <v>3.5748331744518635E-2</v>
      </c>
      <c r="N19" s="147">
        <v>7.0781696854146814E-2</v>
      </c>
      <c r="O19" s="147">
        <v>0.26739752144899898</v>
      </c>
      <c r="P19" s="147">
        <v>0.15896091515729283</v>
      </c>
      <c r="Q19" s="147">
        <v>2.3832221163022638E-4</v>
      </c>
      <c r="R19" s="147">
        <v>-0.1163012392755004</v>
      </c>
      <c r="S19" s="147">
        <v>-0.24618684461391793</v>
      </c>
      <c r="T19" s="147">
        <v>-9.8903717826501203E-2</v>
      </c>
      <c r="U19" s="147">
        <v>-6.8875119161105669E-2</v>
      </c>
      <c r="V19" s="147">
        <v>-0.14609151572926593</v>
      </c>
      <c r="W19" s="147">
        <v>-0.10891325071496649</v>
      </c>
      <c r="X19" s="147">
        <v>2.4547187797902881E-2</v>
      </c>
      <c r="Y19" s="147">
        <v>2.5262154432793116E-2</v>
      </c>
      <c r="Z19" s="147">
        <v>1.4299332697806921E-3</v>
      </c>
      <c r="AA19" s="147">
        <v>-3.7178265014299439E-2</v>
      </c>
      <c r="AB19" s="147">
        <v>-0.10557673975214499</v>
      </c>
      <c r="AC19" s="147">
        <v>-0.13941849380362259</v>
      </c>
      <c r="AD19" s="147">
        <v>7.7454718779790266E-2</v>
      </c>
      <c r="AE19" s="147">
        <v>0.14180171591992341</v>
      </c>
      <c r="AF19" s="147">
        <v>0.25357483317445162</v>
      </c>
      <c r="AG19" s="147">
        <v>0.5431363203050521</v>
      </c>
      <c r="AH19" s="147">
        <v>0.74571020019065726</v>
      </c>
      <c r="AI19" s="147">
        <v>0.72259294566253529</v>
      </c>
      <c r="AJ19" s="152">
        <v>0.17302192564346974</v>
      </c>
    </row>
    <row r="20" spans="2:36" ht="24" customHeight="1">
      <c r="B20" s="63" t="s">
        <v>75</v>
      </c>
      <c r="C20" s="88">
        <v>4</v>
      </c>
      <c r="D20" s="89">
        <v>5</v>
      </c>
      <c r="E20" s="89">
        <v>5</v>
      </c>
      <c r="F20" s="89">
        <v>5</v>
      </c>
      <c r="G20" s="90">
        <v>5</v>
      </c>
      <c r="J20" s="44" t="s">
        <v>83</v>
      </c>
      <c r="K20" s="199" t="s">
        <v>73</v>
      </c>
      <c r="L20" s="46">
        <v>0</v>
      </c>
      <c r="M20" s="147">
        <v>4.5863694813544909E-2</v>
      </c>
      <c r="N20" s="147">
        <v>6.5795113587655552E-2</v>
      </c>
      <c r="O20" s="147">
        <v>-7.0724389198455473E-3</v>
      </c>
      <c r="P20" s="147">
        <v>-9.9657093870552882E-2</v>
      </c>
      <c r="Q20" s="147">
        <v>-0.10758679811401617</v>
      </c>
      <c r="R20" s="147">
        <v>6.6652378911273402E-2</v>
      </c>
      <c r="S20" s="147">
        <v>0.2016716673810548</v>
      </c>
      <c r="T20" s="147">
        <v>0.34440634376339507</v>
      </c>
      <c r="U20" s="147">
        <v>0.2743249035576516</v>
      </c>
      <c r="V20" s="147">
        <v>0.4170595799399921</v>
      </c>
      <c r="W20" s="147">
        <v>0.26639519931418842</v>
      </c>
      <c r="X20" s="147">
        <v>-7.9297042434632981E-2</v>
      </c>
      <c r="Y20" s="147">
        <v>-0.12087441063008952</v>
      </c>
      <c r="Z20" s="147">
        <v>2.1860265752250863E-2</v>
      </c>
      <c r="AA20" s="147">
        <v>4.1577368195456987E-2</v>
      </c>
      <c r="AB20" s="147">
        <v>0.12687526789541415</v>
      </c>
      <c r="AC20" s="147">
        <v>0.31290184312044644</v>
      </c>
      <c r="AD20" s="147">
        <v>0.20595799399914339</v>
      </c>
      <c r="AE20" s="147">
        <v>0.21945992284612137</v>
      </c>
      <c r="AF20" s="147">
        <v>0.36648092584655001</v>
      </c>
      <c r="AG20" s="147">
        <v>0.47942563223317691</v>
      </c>
      <c r="AH20" s="147">
        <v>0.40462923274753626</v>
      </c>
      <c r="AI20" s="147">
        <v>0.40055722246035197</v>
      </c>
      <c r="AJ20" s="152">
        <v>0.42091727389627143</v>
      </c>
    </row>
    <row r="21" spans="2:36" ht="24" customHeight="1">
      <c r="B21" s="47" t="s">
        <v>76</v>
      </c>
      <c r="C21" s="91">
        <v>5</v>
      </c>
      <c r="D21" s="91">
        <v>7</v>
      </c>
      <c r="E21" s="84">
        <v>4</v>
      </c>
      <c r="F21" s="84">
        <v>1</v>
      </c>
      <c r="G21" s="85">
        <v>2</v>
      </c>
      <c r="J21" s="43" t="s">
        <v>83</v>
      </c>
      <c r="K21" s="197" t="s">
        <v>71</v>
      </c>
      <c r="L21" s="45">
        <v>0</v>
      </c>
      <c r="M21" s="147">
        <v>-0.25524044389642409</v>
      </c>
      <c r="N21" s="147">
        <v>-0.32552404438964244</v>
      </c>
      <c r="O21" s="147">
        <v>-0.39210850801479658</v>
      </c>
      <c r="P21" s="147">
        <v>-0.51405672009864367</v>
      </c>
      <c r="Q21" s="147">
        <v>-0.55240443896424174</v>
      </c>
      <c r="R21" s="147">
        <v>-0.34032059186189889</v>
      </c>
      <c r="S21" s="147">
        <v>-0.25030826140567197</v>
      </c>
      <c r="T21" s="147">
        <v>-0.28113440197287287</v>
      </c>
      <c r="U21" s="147">
        <v>-0.12330456226880371</v>
      </c>
      <c r="V21" s="147">
        <v>3.9457459926017568E-2</v>
      </c>
      <c r="W21" s="147">
        <v>-0.11220715166461126</v>
      </c>
      <c r="X21" s="147">
        <v>-0.46485819975339071</v>
      </c>
      <c r="Y21" s="147">
        <v>-0.6325524044389641</v>
      </c>
      <c r="Z21" s="147">
        <v>-0.50431565967940795</v>
      </c>
      <c r="AA21" s="147">
        <v>-0.55610357583230563</v>
      </c>
      <c r="AB21" s="147">
        <v>-0.45992601726263849</v>
      </c>
      <c r="AC21" s="147">
        <v>-0.39580764488286035</v>
      </c>
      <c r="AD21" s="147">
        <v>-0.45561035758323032</v>
      </c>
      <c r="AE21" s="147">
        <v>-0.52404438964241651</v>
      </c>
      <c r="AF21" s="147">
        <v>-0.43773119605425381</v>
      </c>
      <c r="AG21" s="147">
        <v>-0.41923551171393314</v>
      </c>
      <c r="AH21" s="147">
        <v>-0.42786683107274948</v>
      </c>
      <c r="AI21" s="147">
        <v>-0.45252774352651015</v>
      </c>
      <c r="AJ21" s="152">
        <v>-0.56473489519112186</v>
      </c>
    </row>
    <row r="22" spans="2:36" ht="24" customHeight="1">
      <c r="B22" s="64" t="s">
        <v>74</v>
      </c>
      <c r="C22" s="92">
        <v>2</v>
      </c>
      <c r="D22" s="92">
        <v>3</v>
      </c>
      <c r="E22" s="92">
        <v>2</v>
      </c>
      <c r="F22" s="92">
        <v>2</v>
      </c>
      <c r="G22" s="93">
        <v>3</v>
      </c>
      <c r="J22" s="44" t="s">
        <v>84</v>
      </c>
      <c r="K22" s="199" t="s">
        <v>73</v>
      </c>
      <c r="L22" s="42">
        <v>0</v>
      </c>
      <c r="M22" s="147">
        <v>-4.5158286778398504E-2</v>
      </c>
      <c r="N22" s="147">
        <v>0.10986964618249528</v>
      </c>
      <c r="O22" s="147">
        <v>0.13128491620111715</v>
      </c>
      <c r="P22" s="147">
        <v>0.22392923649906882</v>
      </c>
      <c r="Q22" s="147">
        <v>0.42597765363128492</v>
      </c>
      <c r="R22" s="147">
        <v>0.30982309124767227</v>
      </c>
      <c r="S22" s="147">
        <v>0.32448789571694592</v>
      </c>
      <c r="T22" s="147">
        <v>0.48417132216014891</v>
      </c>
      <c r="U22" s="147">
        <v>0.60684357541899447</v>
      </c>
      <c r="V22" s="147">
        <v>0.52560521415270034</v>
      </c>
      <c r="W22" s="147">
        <v>0.52118249534450634</v>
      </c>
      <c r="X22" s="147">
        <v>0.54329608938547458</v>
      </c>
      <c r="Y22" s="147">
        <v>0.57844506517690863</v>
      </c>
      <c r="Z22" s="147">
        <v>0.3126528117359415</v>
      </c>
      <c r="AJ22" s="41"/>
    </row>
    <row r="23" spans="2:36" ht="24" customHeight="1" thickBot="1">
      <c r="B23" s="65" t="s">
        <v>73</v>
      </c>
      <c r="C23" s="94">
        <v>8</v>
      </c>
      <c r="D23" s="94">
        <v>8</v>
      </c>
      <c r="E23" s="94">
        <v>8</v>
      </c>
      <c r="F23" s="94">
        <v>8</v>
      </c>
      <c r="G23" s="95">
        <v>7</v>
      </c>
      <c r="J23" s="43" t="s">
        <v>84</v>
      </c>
      <c r="K23" s="197" t="s">
        <v>69</v>
      </c>
      <c r="L23" s="42" t="s">
        <v>69</v>
      </c>
      <c r="M23" s="147">
        <v>0</v>
      </c>
      <c r="N23" s="147">
        <v>-5.6872037914692086E-2</v>
      </c>
      <c r="O23" s="147">
        <v>8.1516587677725072E-2</v>
      </c>
      <c r="P23" s="147">
        <v>6.3507109004739437E-2</v>
      </c>
      <c r="Q23" s="147">
        <v>8.9099526066350743E-2</v>
      </c>
      <c r="R23" s="147">
        <v>0.26729857819905201</v>
      </c>
      <c r="S23" s="147">
        <v>6.5402843601895633E-2</v>
      </c>
      <c r="T23" s="147">
        <v>0.24454976303317544</v>
      </c>
      <c r="U23" s="147">
        <v>0.33175355450236976</v>
      </c>
      <c r="V23" s="147">
        <v>0.45308056872037894</v>
      </c>
      <c r="W23" s="147">
        <v>0.26066350710900466</v>
      </c>
      <c r="X23" s="147">
        <v>0.23886255924170596</v>
      </c>
      <c r="Y23" s="147">
        <v>1.8009478672985635E-2</v>
      </c>
      <c r="Z23" s="147">
        <v>0.10995260663507089</v>
      </c>
      <c r="AA23" s="153">
        <v>0.38767772511848309</v>
      </c>
      <c r="AB23" s="153"/>
      <c r="AC23" s="153"/>
      <c r="AD23" s="153"/>
      <c r="AE23" s="153"/>
      <c r="AF23" s="153"/>
      <c r="AG23" s="153"/>
      <c r="AH23" s="153"/>
      <c r="AI23" s="153"/>
      <c r="AJ23" s="154"/>
    </row>
    <row r="24" spans="2:36" ht="24" customHeight="1" thickBot="1">
      <c r="J24" s="216" t="s">
        <v>58</v>
      </c>
      <c r="K24" s="217"/>
      <c r="L24" s="40">
        <v>0</v>
      </c>
      <c r="M24" s="39">
        <f>AVERAGE(M16:M23)</f>
        <v>-2.6538173424347139E-2</v>
      </c>
      <c r="N24" s="39">
        <f t="shared" ref="N24:AJ24" si="1">AVERAGE(N16:N23)</f>
        <v>-1.1669221921125905E-2</v>
      </c>
      <c r="O24" s="39">
        <f t="shared" si="1"/>
        <v>1.7755674257294296E-4</v>
      </c>
      <c r="P24" s="39">
        <f t="shared" si="1"/>
        <v>2.9870341596499247E-2</v>
      </c>
      <c r="Q24" s="39">
        <f t="shared" si="1"/>
        <v>1.1871733254283368E-3</v>
      </c>
      <c r="R24" s="39">
        <f t="shared" si="1"/>
        <v>-2.3224823521285853E-2</v>
      </c>
      <c r="S24" s="39">
        <f t="shared" si="1"/>
        <v>7.8641974359640321E-4</v>
      </c>
      <c r="T24" s="39">
        <f t="shared" si="1"/>
        <v>0.10009045016363385</v>
      </c>
      <c r="U24" s="39">
        <f t="shared" si="1"/>
        <v>0.11442855595293183</v>
      </c>
      <c r="V24" s="39">
        <f t="shared" si="1"/>
        <v>0.18922413015350883</v>
      </c>
      <c r="W24" s="39">
        <f t="shared" si="1"/>
        <v>0.13129134023104028</v>
      </c>
      <c r="X24" s="39">
        <f t="shared" si="1"/>
        <v>4.9299885848633054E-2</v>
      </c>
      <c r="Y24" s="39">
        <f t="shared" si="1"/>
        <v>2.1463201314046582E-3</v>
      </c>
      <c r="Z24" s="39">
        <f t="shared" si="1"/>
        <v>7.2126908978638465E-3</v>
      </c>
      <c r="AA24" s="39">
        <f t="shared" si="1"/>
        <v>3.7419049087927383E-2</v>
      </c>
      <c r="AB24" s="39">
        <f t="shared" si="1"/>
        <v>-3.4259495359082424E-2</v>
      </c>
      <c r="AC24" s="39">
        <f t="shared" si="1"/>
        <v>-5.8300525600817298E-2</v>
      </c>
      <c r="AD24" s="39">
        <f t="shared" si="1"/>
        <v>-5.5838818639534014E-2</v>
      </c>
      <c r="AE24" s="39">
        <f t="shared" si="1"/>
        <v>-6.8813516136360733E-2</v>
      </c>
      <c r="AF24" s="39">
        <f t="shared" si="1"/>
        <v>5.3622542063666657E-2</v>
      </c>
      <c r="AG24" s="39">
        <f t="shared" si="1"/>
        <v>0.14443362975195592</v>
      </c>
      <c r="AH24" s="39">
        <f t="shared" si="1"/>
        <v>0.18384834424677252</v>
      </c>
      <c r="AI24" s="39">
        <f t="shared" si="1"/>
        <v>0.18421417689779171</v>
      </c>
      <c r="AJ24" s="38">
        <f t="shared" si="1"/>
        <v>3.9163344632327068E-2</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24" customHeight="1">
      <c r="J27" s="206" t="s">
        <v>91</v>
      </c>
      <c r="K27" s="207"/>
      <c r="L27" s="158">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52">
        <v>0.15979569178065556</v>
      </c>
    </row>
    <row r="28" spans="2:36" ht="24"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0.38842044041457058</v>
      </c>
      <c r="AF28" s="147">
        <v>0.46797880909447076</v>
      </c>
      <c r="AG28" s="147">
        <v>0.43129381818358792</v>
      </c>
      <c r="AH28" s="147">
        <v>0.46996211042729796</v>
      </c>
      <c r="AI28" s="147">
        <v>0.44902672224777396</v>
      </c>
      <c r="AJ28" s="152">
        <v>0.36564289381915693</v>
      </c>
    </row>
    <row r="29" spans="2:36" ht="24"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52">
        <v>0.24249812060483178</v>
      </c>
    </row>
    <row r="30" spans="2:36" ht="30"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30"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0.20531230398190772</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8" spans="10:36" ht="35.25" hidden="1" thickBot="1">
      <c r="J68" s="214" t="s">
        <v>132</v>
      </c>
      <c r="K68" s="21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hidden="1">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hidden="1">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hidden="1">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7.25" hidden="1"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7.25" hidden="1"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J24:K24"/>
    <mergeCell ref="F1:H1"/>
    <mergeCell ref="B2:D3"/>
    <mergeCell ref="J2:K2"/>
    <mergeCell ref="J11:K11"/>
    <mergeCell ref="J15:K15"/>
    <mergeCell ref="J73:K73"/>
    <mergeCell ref="J26:K26"/>
    <mergeCell ref="J27:K27"/>
    <mergeCell ref="J28:K28"/>
    <mergeCell ref="J29:K29"/>
    <mergeCell ref="J30:K30"/>
    <mergeCell ref="J31:K31"/>
    <mergeCell ref="J68:K68"/>
    <mergeCell ref="J69:K69"/>
    <mergeCell ref="J70:K70"/>
    <mergeCell ref="J71:K71"/>
    <mergeCell ref="J72:K72"/>
  </mergeCells>
  <phoneticPr fontId="13" type="noConversion"/>
  <conditionalFormatting sqref="C16:G23">
    <cfRule type="cellIs" dxfId="187" priority="1" operator="between">
      <formula>7</formula>
      <formula>8</formula>
    </cfRule>
    <cfRule type="cellIs" dxfId="186" priority="2" operator="between">
      <formula>1</formula>
      <formula>2</formula>
    </cfRule>
  </conditionalFormatting>
  <conditionalFormatting sqref="F3">
    <cfRule type="cellIs" dxfId="185" priority="4" operator="equal">
      <formula>"GOOD"</formula>
    </cfRule>
    <cfRule type="cellIs" dxfId="184" priority="6" operator="equal">
      <formula>"GOOD"</formula>
    </cfRule>
    <cfRule type="top10" dxfId="183" priority="7" percent="1" rank="10"/>
  </conditionalFormatting>
  <conditionalFormatting sqref="G3">
    <cfRule type="cellIs" dxfId="182" priority="3" operator="equal">
      <formula>"BAD"</formula>
    </cfRule>
    <cfRule type="cellIs" dxfId="181" priority="5" operator="equal">
      <formula>"BAD"</formula>
    </cfRule>
  </conditionalFormatting>
  <pageMargins left="0.7" right="0.7" top="0.75" bottom="0.75" header="0.3" footer="0.3"/>
  <pageSetup paperSize="9" orientation="portrait" horizontalDpi="360" verticalDpi="36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F88F6-C3A3-44D1-8CD1-AC3F6CA9BC03}">
  <dimension ref="B1:AJ102"/>
  <sheetViews>
    <sheetView topLeftCell="A5" zoomScale="63" zoomScaleNormal="55" workbookViewId="0">
      <selection activeCell="AC46" sqref="AC46"/>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18"/>
      <c r="G1" s="219"/>
      <c r="H1" s="219"/>
    </row>
    <row r="2" spans="2:36" ht="24" customHeight="1" thickBot="1">
      <c r="B2" s="240" t="s">
        <v>61</v>
      </c>
      <c r="C2" s="241"/>
      <c r="D2" s="242"/>
      <c r="J2" s="226" t="s">
        <v>60</v>
      </c>
      <c r="K2" s="227"/>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43"/>
      <c r="C3" s="244"/>
      <c r="D3" s="245"/>
      <c r="F3" s="188" t="s">
        <v>130</v>
      </c>
      <c r="G3" s="189" t="s">
        <v>129</v>
      </c>
      <c r="J3" s="48" t="s">
        <v>81</v>
      </c>
      <c r="K3" s="190" t="s">
        <v>72</v>
      </c>
      <c r="L3" s="107">
        <v>0</v>
      </c>
      <c r="M3" s="108">
        <v>-4.4342507645259932E-2</v>
      </c>
      <c r="N3" s="108">
        <v>-7.9701834862385357E-2</v>
      </c>
      <c r="O3" s="108">
        <v>-0.30358053007135566</v>
      </c>
      <c r="P3" s="108">
        <v>-0.28994648318042804</v>
      </c>
      <c r="Q3" s="108">
        <v>-0.40577217125382259</v>
      </c>
      <c r="R3" s="108">
        <v>-0.55058613659531086</v>
      </c>
      <c r="S3" s="108">
        <v>-0.53784403669724756</v>
      </c>
      <c r="T3" s="108">
        <v>-0.4912716615698266</v>
      </c>
      <c r="U3" s="108">
        <v>-0.58135830784913356</v>
      </c>
      <c r="V3" s="108">
        <v>-0.47024719673802229</v>
      </c>
      <c r="W3" s="108">
        <v>-0.36850152905198763</v>
      </c>
      <c r="X3" s="108">
        <v>-0.43361365953109066</v>
      </c>
      <c r="Y3" s="108">
        <v>-0.36015545361875634</v>
      </c>
      <c r="Z3" s="108">
        <v>-0.39965596330275222</v>
      </c>
      <c r="AA3" s="108">
        <v>-0.22241335372069315</v>
      </c>
      <c r="AB3" s="108">
        <v>-0.2382772680937818</v>
      </c>
      <c r="AC3" s="108">
        <v>-0.45291794087665638</v>
      </c>
      <c r="AD3" s="108">
        <v>-0.52395514780835883</v>
      </c>
      <c r="AE3" s="108">
        <v>-0.58741080530071343</v>
      </c>
      <c r="AF3" s="108">
        <v>-0.57581549439347612</v>
      </c>
      <c r="AG3" s="108">
        <v>-0.48318042813455653</v>
      </c>
      <c r="AH3" s="108">
        <v>-0.50949286442405706</v>
      </c>
      <c r="AI3" s="108">
        <v>-0.54466106014271154</v>
      </c>
      <c r="AJ3" s="109">
        <v>-0.52580275229357787</v>
      </c>
    </row>
    <row r="4" spans="2:36" ht="24" customHeight="1" thickBot="1">
      <c r="J4" s="43" t="s">
        <v>81</v>
      </c>
      <c r="K4" s="191" t="s">
        <v>70</v>
      </c>
      <c r="L4" s="110">
        <v>0</v>
      </c>
      <c r="M4" s="111">
        <v>2.0032995522036412E-2</v>
      </c>
      <c r="N4" s="111">
        <v>1.1784115012962726E-3</v>
      </c>
      <c r="O4" s="111">
        <v>-0.21140702333254768</v>
      </c>
      <c r="P4" s="111">
        <v>-0.16780579778458626</v>
      </c>
      <c r="Q4" s="111">
        <v>-0.19868017911854818</v>
      </c>
      <c r="R4" s="111">
        <v>-0.32665566815932123</v>
      </c>
      <c r="S4" s="111">
        <v>-0.20645769502710343</v>
      </c>
      <c r="T4" s="111">
        <v>-0.12868253594155077</v>
      </c>
      <c r="U4" s="111">
        <v>-0.2649069054913975</v>
      </c>
      <c r="V4" s="111">
        <v>-0.21894885694084365</v>
      </c>
      <c r="W4" s="111">
        <v>-0.26302144708932351</v>
      </c>
      <c r="X4" s="111">
        <v>-0.2858826302144708</v>
      </c>
      <c r="Y4" s="111">
        <v>-0.33160499646476538</v>
      </c>
      <c r="Z4" s="111">
        <v>-0.34103228847513534</v>
      </c>
      <c r="AA4" s="111">
        <v>-0.20103700212114051</v>
      </c>
      <c r="AB4" s="111">
        <v>-0.24228140466650938</v>
      </c>
      <c r="AC4" s="111">
        <v>-0.29908083902898874</v>
      </c>
      <c r="AD4" s="111">
        <v>-0.39948149893942952</v>
      </c>
      <c r="AE4" s="111">
        <v>-0.50412444025453684</v>
      </c>
      <c r="AF4" s="111">
        <v>-0.4296488333726135</v>
      </c>
      <c r="AG4" s="111">
        <v>-0.35564459109120872</v>
      </c>
      <c r="AH4" s="111">
        <v>-0.32901249116191345</v>
      </c>
      <c r="AI4" s="111">
        <v>-0.23073297195380593</v>
      </c>
      <c r="AJ4" s="112">
        <v>-0.34480320527928321</v>
      </c>
    </row>
    <row r="5" spans="2:36" ht="24" customHeight="1">
      <c r="B5" s="51"/>
      <c r="C5" s="50">
        <v>2021</v>
      </c>
      <c r="D5" s="50">
        <v>2022</v>
      </c>
      <c r="E5" s="50">
        <v>2023</v>
      </c>
      <c r="F5" s="50">
        <v>2024</v>
      </c>
      <c r="G5" s="49">
        <v>2025</v>
      </c>
      <c r="J5" s="44" t="s">
        <v>82</v>
      </c>
      <c r="K5" s="192" t="s">
        <v>72</v>
      </c>
      <c r="L5" s="113">
        <v>0</v>
      </c>
      <c r="M5" s="114">
        <v>0.12969628796400445</v>
      </c>
      <c r="N5" s="114">
        <v>5.9955005624297009E-2</v>
      </c>
      <c r="O5" s="114">
        <v>0.37289088863891995</v>
      </c>
      <c r="P5" s="114">
        <v>0.34488188976377954</v>
      </c>
      <c r="Q5" s="114">
        <v>-3.4083239595050552E-2</v>
      </c>
      <c r="R5" s="114">
        <v>-0.15950506186726654</v>
      </c>
      <c r="S5" s="114">
        <v>-0.27154105736782885</v>
      </c>
      <c r="T5" s="114">
        <v>-0.25106861642294709</v>
      </c>
      <c r="U5" s="114">
        <v>-8.7514060742406974E-2</v>
      </c>
      <c r="V5" s="114">
        <v>-0.13397075365579292</v>
      </c>
      <c r="W5" s="114">
        <v>-0.1960629921259841</v>
      </c>
      <c r="X5" s="114">
        <v>-0.1627671541057365</v>
      </c>
      <c r="Y5" s="114">
        <v>-0.39268841394825627</v>
      </c>
      <c r="Z5" s="114">
        <v>-0.40787401574803139</v>
      </c>
      <c r="AA5" s="114">
        <v>-0.43498312710911136</v>
      </c>
      <c r="AB5" s="114">
        <v>-0.36929133858267715</v>
      </c>
      <c r="AC5" s="114">
        <v>-0.52665916760404952</v>
      </c>
      <c r="AD5" s="114">
        <v>-0.38065241844769404</v>
      </c>
      <c r="AE5" s="114">
        <v>-0.26872890888638923</v>
      </c>
      <c r="AF5" s="114">
        <v>-7.9415073115860602E-2</v>
      </c>
      <c r="AG5" s="114">
        <v>5.8717660292463503E-2</v>
      </c>
      <c r="AH5" s="114">
        <v>0.152193475815523</v>
      </c>
      <c r="AI5" s="114">
        <v>-0.17322834645669305</v>
      </c>
      <c r="AJ5" s="115">
        <v>-0.41901012373453328</v>
      </c>
    </row>
    <row r="6" spans="2:36" ht="24" customHeight="1">
      <c r="B6" s="47" t="s">
        <v>69</v>
      </c>
      <c r="C6" s="72">
        <v>0.91213301062822272</v>
      </c>
      <c r="D6" s="72">
        <v>0.7103181987346483</v>
      </c>
      <c r="E6" s="72">
        <v>0.61517541474027737</v>
      </c>
      <c r="F6" s="72">
        <v>0.5414282774233381</v>
      </c>
      <c r="G6" s="73">
        <v>0.49832598399477379</v>
      </c>
      <c r="H6" s="1"/>
      <c r="J6" s="43" t="s">
        <v>82</v>
      </c>
      <c r="K6" s="191" t="s">
        <v>70</v>
      </c>
      <c r="L6" s="45">
        <v>0</v>
      </c>
      <c r="M6" s="111">
        <v>-6.4026402640264046E-2</v>
      </c>
      <c r="N6" s="111">
        <v>-7.7227722772277185E-2</v>
      </c>
      <c r="O6" s="111">
        <v>0.11881188118811892</v>
      </c>
      <c r="P6" s="111">
        <v>6.1056105610561184E-2</v>
      </c>
      <c r="Q6" s="111">
        <v>-1.848184818481835E-2</v>
      </c>
      <c r="R6" s="111">
        <v>-0.15907590759075896</v>
      </c>
      <c r="S6" s="111">
        <v>-0.30561056105610551</v>
      </c>
      <c r="T6" s="111">
        <v>-0.20132013201320109</v>
      </c>
      <c r="U6" s="111">
        <v>-9.7689768976897406E-2</v>
      </c>
      <c r="V6" s="111">
        <v>-6.0396039603960117E-2</v>
      </c>
      <c r="W6" s="111">
        <v>7.7227722772277518E-2</v>
      </c>
      <c r="X6" s="111">
        <v>-8.2508250825082285E-2</v>
      </c>
      <c r="Y6" s="111">
        <v>-0.18052805280528039</v>
      </c>
      <c r="Z6" s="111">
        <v>-0.15181518151815154</v>
      </c>
      <c r="AA6" s="111">
        <v>-9.6039603960395792E-2</v>
      </c>
      <c r="AB6" s="111">
        <v>-0.14356435643564336</v>
      </c>
      <c r="AC6" s="111">
        <v>-8.0528052805280192E-2</v>
      </c>
      <c r="AD6" s="111">
        <v>-5.77557755775574E-2</v>
      </c>
      <c r="AE6" s="111">
        <v>-2.1782178217821357E-2</v>
      </c>
      <c r="AF6" s="111">
        <v>3.5313531353135641E-2</v>
      </c>
      <c r="AG6" s="111">
        <v>7.5577557755776015E-2</v>
      </c>
      <c r="AH6" s="111">
        <v>-1.2541254125412182E-2</v>
      </c>
      <c r="AI6" s="111">
        <v>-9.9009900990065791E-4</v>
      </c>
      <c r="AJ6" s="112">
        <v>7.9867986798680013E-2</v>
      </c>
    </row>
    <row r="7" spans="2:36" ht="24" customHeight="1">
      <c r="B7" s="47" t="s">
        <v>70</v>
      </c>
      <c r="C7" s="72">
        <v>1.9681361850720209</v>
      </c>
      <c r="D7" s="72">
        <v>1.4268645211023319</v>
      </c>
      <c r="E7" s="72">
        <v>1.1386259791122715</v>
      </c>
      <c r="F7" s="72">
        <v>0.91837732160312802</v>
      </c>
      <c r="G7" s="73">
        <v>0.51689405732075822</v>
      </c>
      <c r="H7" s="1"/>
      <c r="J7" s="44" t="s">
        <v>83</v>
      </c>
      <c r="K7" s="192" t="s">
        <v>70</v>
      </c>
      <c r="L7" s="46">
        <v>0</v>
      </c>
      <c r="M7" s="114">
        <v>-0.10683453237410079</v>
      </c>
      <c r="N7" s="114">
        <v>-7.5539568345323715E-2</v>
      </c>
      <c r="O7" s="114">
        <v>-1.4748201438848918E-2</v>
      </c>
      <c r="P7" s="114">
        <v>-6.6546762589928088E-2</v>
      </c>
      <c r="Q7" s="114">
        <v>2.1582733812950394E-3</v>
      </c>
      <c r="R7" s="114">
        <v>2.6978417266187105E-2</v>
      </c>
      <c r="S7" s="114">
        <v>6.6187050359712396E-2</v>
      </c>
      <c r="T7" s="114">
        <v>0.12841726618705041</v>
      </c>
      <c r="U7" s="114">
        <v>0.17230215827338147</v>
      </c>
      <c r="V7" s="114">
        <v>7.6258992805755543E-2</v>
      </c>
      <c r="W7" s="114">
        <v>8.8848920863309422E-2</v>
      </c>
      <c r="X7" s="114">
        <v>0.17697841726618702</v>
      </c>
      <c r="Y7" s="114">
        <v>-1.4028776978417201E-2</v>
      </c>
      <c r="Z7" s="114">
        <v>0.17697841726618702</v>
      </c>
      <c r="AA7" s="114">
        <v>0.14388489208633093</v>
      </c>
      <c r="AB7" s="114">
        <v>9.676258992805753E-2</v>
      </c>
      <c r="AC7" s="114">
        <v>0.16654676258992795</v>
      </c>
      <c r="AD7" s="114">
        <v>0.13165467625899274</v>
      </c>
      <c r="AE7" s="114">
        <v>8.0575539568345178E-2</v>
      </c>
      <c r="AF7" s="114">
        <v>0.24136690647481984</v>
      </c>
      <c r="AG7" s="114">
        <v>0.47374100719424428</v>
      </c>
      <c r="AH7" s="114">
        <v>0.70215827338129477</v>
      </c>
      <c r="AI7" s="114">
        <v>0.76438848920863278</v>
      </c>
      <c r="AJ7" s="115">
        <v>0.34568345323740979</v>
      </c>
    </row>
    <row r="8" spans="2:36" ht="24" customHeight="1">
      <c r="B8" s="47" t="s">
        <v>71</v>
      </c>
      <c r="C8" s="74">
        <v>0.78205128205128205</v>
      </c>
      <c r="D8" s="74">
        <v>0.65594855305466238</v>
      </c>
      <c r="E8" s="74">
        <v>0.52533172496984315</v>
      </c>
      <c r="F8" s="74">
        <v>0.53455723542116629</v>
      </c>
      <c r="G8" s="75">
        <v>0.4555397051830718</v>
      </c>
      <c r="J8" s="43" t="s">
        <v>83</v>
      </c>
      <c r="K8" s="191" t="s">
        <v>74</v>
      </c>
      <c r="L8" s="45">
        <v>0</v>
      </c>
      <c r="M8" s="111">
        <v>7.4770258980785265E-2</v>
      </c>
      <c r="N8" s="111">
        <v>0.10672514619883056</v>
      </c>
      <c r="O8" s="111">
        <v>1.6290726817042689E-2</v>
      </c>
      <c r="P8" s="111">
        <v>-5.1378446115288079E-2</v>
      </c>
      <c r="Q8" s="111">
        <v>-8.0200501253132717E-2</v>
      </c>
      <c r="R8" s="111">
        <v>0.19172932330827086</v>
      </c>
      <c r="S8" s="111">
        <v>0.63450292397660846</v>
      </c>
      <c r="T8" s="111">
        <v>1.0223475355054301</v>
      </c>
      <c r="U8" s="111">
        <v>1.0279866332497911</v>
      </c>
      <c r="V8" s="111">
        <v>1.2105263157894739</v>
      </c>
      <c r="W8" s="111">
        <v>0.95927318295739372</v>
      </c>
      <c r="X8" s="111">
        <v>0.44214703425229751</v>
      </c>
      <c r="Y8" s="111">
        <v>0.43734335839599003</v>
      </c>
      <c r="Z8" s="111">
        <v>0.65914786967418548</v>
      </c>
      <c r="AA8" s="111">
        <v>0.66311612364243966</v>
      </c>
      <c r="AB8" s="111">
        <v>0.84440267335004227</v>
      </c>
      <c r="AC8" s="111">
        <v>1.1929824561403515</v>
      </c>
      <c r="AD8" s="111">
        <v>1.0154553049289894</v>
      </c>
      <c r="AE8" s="111">
        <v>0.96407685881370142</v>
      </c>
      <c r="AF8" s="111">
        <v>1.1294903926482878</v>
      </c>
      <c r="AG8" s="111">
        <v>1.3354218880534678</v>
      </c>
      <c r="AH8" s="111">
        <v>1.1370091896407692</v>
      </c>
      <c r="AI8" s="111">
        <v>1.2201336675020893</v>
      </c>
      <c r="AJ8" s="112">
        <v>0.92293233082706805</v>
      </c>
    </row>
    <row r="9" spans="2:36" ht="24" customHeight="1">
      <c r="B9" s="47" t="s">
        <v>72</v>
      </c>
      <c r="C9" s="74">
        <v>2.0185824491550348</v>
      </c>
      <c r="D9" s="74">
        <v>1.4649615844917001</v>
      </c>
      <c r="E9" s="74">
        <v>0.82580567463522025</v>
      </c>
      <c r="F9" s="74">
        <v>0.7762657702653194</v>
      </c>
      <c r="G9" s="75">
        <v>0.95011203167128477</v>
      </c>
      <c r="J9" s="44" t="s">
        <v>84</v>
      </c>
      <c r="K9" s="190" t="s">
        <v>75</v>
      </c>
      <c r="L9" s="42">
        <v>0</v>
      </c>
      <c r="M9" s="108">
        <v>-9.5435684647302899E-2</v>
      </c>
      <c r="N9" s="108">
        <v>4.7717842323651283E-2</v>
      </c>
      <c r="O9" s="108">
        <v>-0.12240663900414939</v>
      </c>
      <c r="P9" s="108">
        <v>-7.8838174273858974E-2</v>
      </c>
      <c r="Q9" s="108">
        <v>0.10995850622406622</v>
      </c>
      <c r="R9" s="108">
        <v>2.0746887966804906E-2</v>
      </c>
      <c r="S9" s="108">
        <v>-0.12863070539419086</v>
      </c>
      <c r="T9" s="108">
        <v>-5.1867219917012375E-2</v>
      </c>
      <c r="U9" s="108">
        <v>-5.6016597510373467E-2</v>
      </c>
      <c r="V9" s="108">
        <v>1.0373443983402453E-2</v>
      </c>
      <c r="W9" s="108">
        <v>0.14937759336099576</v>
      </c>
      <c r="X9" s="108">
        <v>-8.2987551867219955E-2</v>
      </c>
      <c r="Y9" s="108">
        <v>-3.319502074688796E-2</v>
      </c>
      <c r="Z9" s="108">
        <v>0.13278008298755184</v>
      </c>
      <c r="AA9" s="108"/>
      <c r="AB9" s="108"/>
      <c r="AC9" s="108"/>
      <c r="AD9" s="108"/>
      <c r="AE9" s="108"/>
      <c r="AF9" s="108"/>
      <c r="AG9" s="108"/>
      <c r="AH9" s="108"/>
      <c r="AI9" s="108"/>
      <c r="AJ9" s="109"/>
    </row>
    <row r="10" spans="2:36" ht="24" customHeight="1" thickBot="1">
      <c r="B10" s="63" t="s">
        <v>75</v>
      </c>
      <c r="C10" s="76">
        <v>0.9496634474685397</v>
      </c>
      <c r="D10" s="77">
        <v>0.51120597652081112</v>
      </c>
      <c r="E10" s="77">
        <v>0.59536934950385889</v>
      </c>
      <c r="F10" s="77">
        <v>1.0971399123937129</v>
      </c>
      <c r="G10" s="78">
        <v>0.73557473875511137</v>
      </c>
      <c r="J10" s="43" t="s">
        <v>84</v>
      </c>
      <c r="K10" s="190" t="s">
        <v>70</v>
      </c>
      <c r="L10" s="42">
        <v>0</v>
      </c>
      <c r="M10" s="108">
        <v>-0.16228606356968212</v>
      </c>
      <c r="N10" s="108">
        <v>0</v>
      </c>
      <c r="O10" s="108">
        <v>-2.8117359413202925E-2</v>
      </c>
      <c r="P10" s="108">
        <v>-6.8154034229828908E-2</v>
      </c>
      <c r="Q10" s="108">
        <v>-8.8630806845966248E-3</v>
      </c>
      <c r="R10" s="108">
        <v>-3.8508557457212711E-2</v>
      </c>
      <c r="S10" s="108">
        <v>-8.1907090464547694E-2</v>
      </c>
      <c r="T10" s="108">
        <v>5.4706601466992577E-2</v>
      </c>
      <c r="U10" s="108">
        <v>0.2521393643031784</v>
      </c>
      <c r="V10" s="108">
        <v>0.44621026894865534</v>
      </c>
      <c r="W10" s="108">
        <v>0.49908312958435208</v>
      </c>
      <c r="X10" s="108">
        <v>0.14333740831295838</v>
      </c>
      <c r="Y10" s="108">
        <v>0.15892420537897323</v>
      </c>
      <c r="Z10" s="108">
        <v>0.3126528117359415</v>
      </c>
      <c r="AA10" s="108"/>
      <c r="AB10" s="108"/>
      <c r="AC10" s="108"/>
      <c r="AD10" s="108"/>
      <c r="AE10" s="108"/>
      <c r="AF10" s="108"/>
      <c r="AG10" s="108"/>
      <c r="AH10" s="108"/>
      <c r="AI10" s="108"/>
      <c r="AJ10" s="109"/>
    </row>
    <row r="11" spans="2:36" ht="24" customHeight="1" thickBot="1">
      <c r="B11" s="47" t="s">
        <v>76</v>
      </c>
      <c r="C11" s="79">
        <v>0.98220997243798547</v>
      </c>
      <c r="D11" s="79">
        <v>0.67660805697752058</v>
      </c>
      <c r="E11" s="72">
        <v>0.60663825969948415</v>
      </c>
      <c r="F11" s="72">
        <v>0.61187957689178196</v>
      </c>
      <c r="G11" s="73">
        <v>0.49567460919714679</v>
      </c>
      <c r="J11" s="216" t="s">
        <v>58</v>
      </c>
      <c r="K11" s="217"/>
      <c r="L11" s="40">
        <v>0</v>
      </c>
      <c r="M11" s="116">
        <f t="shared" ref="M11:AJ11" si="0">AVERAGE(M3:M10)</f>
        <v>-3.1053206051222956E-2</v>
      </c>
      <c r="N11" s="116">
        <f t="shared" si="0"/>
        <v>-2.1115900414888922E-3</v>
      </c>
      <c r="O11" s="116">
        <f t="shared" si="0"/>
        <v>-2.1533282077002877E-2</v>
      </c>
      <c r="P11" s="116">
        <f t="shared" si="0"/>
        <v>-3.9591462849947204E-2</v>
      </c>
      <c r="Q11" s="116">
        <f t="shared" si="0"/>
        <v>-7.9245530060575969E-2</v>
      </c>
      <c r="R11" s="116">
        <f t="shared" si="0"/>
        <v>-0.12435958789107594</v>
      </c>
      <c r="S11" s="116">
        <f t="shared" si="0"/>
        <v>-0.10391264645883787</v>
      </c>
      <c r="T11" s="116">
        <f t="shared" si="0"/>
        <v>1.0157654661866897E-2</v>
      </c>
      <c r="U11" s="116">
        <f t="shared" si="0"/>
        <v>4.5617814407017759E-2</v>
      </c>
      <c r="V11" s="116">
        <f t="shared" si="0"/>
        <v>0.10747577182358353</v>
      </c>
      <c r="W11" s="116">
        <f t="shared" si="0"/>
        <v>0.11827807265887916</v>
      </c>
      <c r="X11" s="116">
        <f t="shared" si="0"/>
        <v>-3.5662048339019661E-2</v>
      </c>
      <c r="Y11" s="116">
        <f t="shared" si="0"/>
        <v>-8.949164384842502E-2</v>
      </c>
      <c r="Z11" s="116">
        <f t="shared" si="0"/>
        <v>-2.3522834225255806E-3</v>
      </c>
      <c r="AA11" s="116">
        <f t="shared" si="0"/>
        <v>-2.4578678530428371E-2</v>
      </c>
      <c r="AB11" s="116">
        <f t="shared" si="0"/>
        <v>-8.7081840834186495E-3</v>
      </c>
      <c r="AC11" s="116">
        <f t="shared" si="0"/>
        <v>5.7203069217415248E-5</v>
      </c>
      <c r="AD11" s="116">
        <f t="shared" si="0"/>
        <v>-3.578914326417626E-2</v>
      </c>
      <c r="AE11" s="116">
        <f t="shared" si="0"/>
        <v>-5.6232322379569023E-2</v>
      </c>
      <c r="AF11" s="116">
        <f t="shared" si="0"/>
        <v>5.3548571599048835E-2</v>
      </c>
      <c r="AG11" s="116">
        <f t="shared" si="0"/>
        <v>0.18410551567836442</v>
      </c>
      <c r="AH11" s="116">
        <f t="shared" si="0"/>
        <v>0.19005238818770073</v>
      </c>
      <c r="AI11" s="116">
        <f t="shared" si="0"/>
        <v>0.17248494652460181</v>
      </c>
      <c r="AJ11" s="117">
        <f t="shared" si="0"/>
        <v>9.8112815926272665E-3</v>
      </c>
    </row>
    <row r="12" spans="2:36" ht="24" customHeight="1">
      <c r="B12" s="64" t="s">
        <v>74</v>
      </c>
      <c r="C12" s="80">
        <v>1.192854020979021</v>
      </c>
      <c r="D12" s="80">
        <v>0.90339143359005536</v>
      </c>
      <c r="E12" s="80">
        <v>0.92471988795518212</v>
      </c>
      <c r="F12" s="80">
        <v>0.80994252380543874</v>
      </c>
      <c r="G12" s="81">
        <v>0.64504649293996097</v>
      </c>
    </row>
    <row r="13" spans="2:36" ht="24" customHeight="1" thickBot="1">
      <c r="B13" s="65" t="s">
        <v>73</v>
      </c>
      <c r="C13" s="82">
        <v>0.76027854621768576</v>
      </c>
      <c r="D13" s="82">
        <v>0.50158057054741712</v>
      </c>
      <c r="E13" s="82">
        <v>0.38871224165341811</v>
      </c>
      <c r="F13" s="82">
        <v>0.36910386201724782</v>
      </c>
      <c r="G13" s="83">
        <v>0.39704604691572548</v>
      </c>
    </row>
    <row r="14" spans="2:36" ht="24" customHeight="1" thickBot="1"/>
    <row r="15" spans="2:36" ht="24" customHeight="1" thickBot="1">
      <c r="B15" s="51"/>
      <c r="C15" s="50">
        <v>2021</v>
      </c>
      <c r="D15" s="50">
        <v>2022</v>
      </c>
      <c r="E15" s="50">
        <v>2023</v>
      </c>
      <c r="F15" s="50">
        <v>2024</v>
      </c>
      <c r="G15" s="49">
        <v>2025</v>
      </c>
      <c r="J15" s="228" t="s">
        <v>59</v>
      </c>
      <c r="K15" s="229"/>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6</v>
      </c>
      <c r="D16" s="84">
        <v>4</v>
      </c>
      <c r="E16" s="84">
        <v>4</v>
      </c>
      <c r="F16" s="84">
        <v>6</v>
      </c>
      <c r="G16" s="85">
        <v>5</v>
      </c>
      <c r="J16" s="48" t="s">
        <v>81</v>
      </c>
      <c r="K16" s="197" t="s">
        <v>73</v>
      </c>
      <c r="L16" s="42">
        <v>0</v>
      </c>
      <c r="M16" s="108">
        <v>8.7490206320188113E-2</v>
      </c>
      <c r="N16" s="108">
        <v>5.3538782972055499E-2</v>
      </c>
      <c r="O16" s="108">
        <v>-0.26795507965526244</v>
      </c>
      <c r="P16" s="108">
        <v>-0.19639592582919829</v>
      </c>
      <c r="Q16" s="108">
        <v>-0.2149386262731785</v>
      </c>
      <c r="R16" s="108">
        <v>-0.29093758161399852</v>
      </c>
      <c r="S16" s="108">
        <v>-0.14259597806215729</v>
      </c>
      <c r="T16" s="108">
        <v>-0.10603290676416832</v>
      </c>
      <c r="U16" s="108">
        <v>-0.16949595194567779</v>
      </c>
      <c r="V16" s="108">
        <v>-1.2013580569339322E-2</v>
      </c>
      <c r="W16" s="108">
        <v>-3.1078610603290646E-2</v>
      </c>
      <c r="X16" s="108">
        <v>-0.1175241577435362</v>
      </c>
      <c r="Y16" s="108">
        <v>-0.1329328806476886</v>
      </c>
      <c r="Z16" s="108">
        <v>-8.2005745625489679E-2</v>
      </c>
      <c r="AA16" s="108">
        <v>0.2013580569339255</v>
      </c>
      <c r="AB16" s="108">
        <v>0.16897362235570657</v>
      </c>
      <c r="AC16" s="108">
        <v>8.5923217550274211E-2</v>
      </c>
      <c r="AD16" s="108">
        <v>-6.2940715591538243E-2</v>
      </c>
      <c r="AE16" s="108">
        <v>-0.20867067119352312</v>
      </c>
      <c r="AF16" s="108">
        <v>-6.2157221206581403E-2</v>
      </c>
      <c r="AG16" s="108">
        <v>2.1676677983807568E-2</v>
      </c>
      <c r="AH16" s="108">
        <v>-6.0067902846696608E-3</v>
      </c>
      <c r="AI16" s="108">
        <v>7.3387307390963663E-2</v>
      </c>
      <c r="AJ16" s="109">
        <v>0.21859493340297709</v>
      </c>
    </row>
    <row r="17" spans="2:36" ht="24" customHeight="1">
      <c r="B17" s="47" t="s">
        <v>70</v>
      </c>
      <c r="C17" s="84">
        <v>2</v>
      </c>
      <c r="D17" s="84">
        <v>2</v>
      </c>
      <c r="E17" s="84">
        <v>1</v>
      </c>
      <c r="F17" s="84">
        <v>2</v>
      </c>
      <c r="G17" s="85">
        <v>4</v>
      </c>
      <c r="J17" s="43" t="s">
        <v>81</v>
      </c>
      <c r="K17" s="198" t="s">
        <v>71</v>
      </c>
      <c r="L17" s="45">
        <v>0</v>
      </c>
      <c r="M17" s="118">
        <v>-6.3548102383053862E-2</v>
      </c>
      <c r="N17" s="111">
        <v>-5.1191526919682206E-2</v>
      </c>
      <c r="O17" s="111">
        <v>-0.17299205648720217</v>
      </c>
      <c r="P17" s="111">
        <v>0.27802294792586069</v>
      </c>
      <c r="Q17" s="111">
        <v>0.13857016769638153</v>
      </c>
      <c r="R17" s="111">
        <v>-0.14386584289496906</v>
      </c>
      <c r="S17" s="111">
        <v>0.15710503089143879</v>
      </c>
      <c r="T17" s="111">
        <v>0.15092674315975296</v>
      </c>
      <c r="U17" s="111">
        <v>-9.3556928508384707E-2</v>
      </c>
      <c r="V17" s="111">
        <v>0.1103265666372466</v>
      </c>
      <c r="W17" s="111">
        <v>3.7952338923213036E-2</v>
      </c>
      <c r="X17" s="111">
        <v>-0.13150926743159719</v>
      </c>
      <c r="Y17" s="111">
        <v>-0.1624007060900261</v>
      </c>
      <c r="Z17" s="111">
        <v>-0.27360988526037033</v>
      </c>
      <c r="AA17" s="111">
        <v>-0.14651368049426261</v>
      </c>
      <c r="AB17" s="111">
        <v>-0.17917034421888745</v>
      </c>
      <c r="AC17" s="111">
        <v>-0.44571932921447455</v>
      </c>
      <c r="AD17" s="111">
        <v>-0.57281553398058227</v>
      </c>
      <c r="AE17" s="111">
        <v>-0.70079435127978806</v>
      </c>
      <c r="AF17" s="111">
        <v>-0.6548984995586935</v>
      </c>
      <c r="AG17" s="111">
        <v>-0.51809355692850811</v>
      </c>
      <c r="AH17" s="111">
        <v>-0.57016769638128828</v>
      </c>
      <c r="AI17" s="111">
        <v>-0.38746690203000833</v>
      </c>
      <c r="AJ17" s="112">
        <v>-0.28420123565754574</v>
      </c>
    </row>
    <row r="18" spans="2:36" ht="24" customHeight="1">
      <c r="B18" s="47" t="s">
        <v>71</v>
      </c>
      <c r="C18" s="86">
        <v>7</v>
      </c>
      <c r="D18" s="86">
        <v>6</v>
      </c>
      <c r="E18" s="86">
        <v>7</v>
      </c>
      <c r="F18" s="86">
        <v>7</v>
      </c>
      <c r="G18" s="87">
        <v>7</v>
      </c>
      <c r="J18" s="44" t="s">
        <v>82</v>
      </c>
      <c r="K18" s="199" t="s">
        <v>73</v>
      </c>
      <c r="L18" s="46">
        <v>0</v>
      </c>
      <c r="M18" s="108">
        <v>-1.7460787215152318E-2</v>
      </c>
      <c r="N18" s="108">
        <v>4.0248594258656345E-2</v>
      </c>
      <c r="O18" s="108">
        <v>0.36134951168984908</v>
      </c>
      <c r="P18" s="108">
        <v>0.32465226398342706</v>
      </c>
      <c r="Q18" s="108">
        <v>0.23054158034921568</v>
      </c>
      <c r="R18" s="108">
        <v>6.1852619118082375E-2</v>
      </c>
      <c r="S18" s="108">
        <v>-0.10328499556081672</v>
      </c>
      <c r="T18" s="108">
        <v>6.2740455756140845E-2</v>
      </c>
      <c r="U18" s="108">
        <v>0.15773897602841069</v>
      </c>
      <c r="V18" s="108">
        <v>0.12636874815034038</v>
      </c>
      <c r="W18" s="108">
        <v>0.21633619414027816</v>
      </c>
      <c r="X18" s="108">
        <v>0.38088191772713809</v>
      </c>
      <c r="Y18" s="108">
        <v>0.44421426457531821</v>
      </c>
      <c r="Z18" s="108">
        <v>0.47173720035513478</v>
      </c>
      <c r="AA18" s="108">
        <v>0.3711157147084938</v>
      </c>
      <c r="AB18" s="108">
        <v>0.24326723882805568</v>
      </c>
      <c r="AC18" s="108">
        <v>0.23231725362533306</v>
      </c>
      <c r="AD18" s="108">
        <v>0.47292098253921311</v>
      </c>
      <c r="AE18" s="108">
        <v>0.65936667653151848</v>
      </c>
      <c r="AF18" s="108">
        <v>0.85646641018052705</v>
      </c>
      <c r="AG18" s="108">
        <v>0.75969221663214026</v>
      </c>
      <c r="AH18" s="108">
        <v>0.95679195028114905</v>
      </c>
      <c r="AI18" s="108">
        <v>0.74874223142941765</v>
      </c>
      <c r="AJ18" s="109">
        <v>0.27138206569991175</v>
      </c>
    </row>
    <row r="19" spans="2:36" ht="24" customHeight="1">
      <c r="B19" s="47" t="s">
        <v>72</v>
      </c>
      <c r="C19" s="86">
        <v>1</v>
      </c>
      <c r="D19" s="86">
        <v>1</v>
      </c>
      <c r="E19" s="86">
        <v>3</v>
      </c>
      <c r="F19" s="86">
        <v>4</v>
      </c>
      <c r="G19" s="87">
        <v>1</v>
      </c>
      <c r="J19" s="43" t="s">
        <v>82</v>
      </c>
      <c r="K19" s="198" t="s">
        <v>75</v>
      </c>
      <c r="L19" s="45">
        <v>0</v>
      </c>
      <c r="M19" s="118">
        <v>-1.9230769230769273E-2</v>
      </c>
      <c r="N19" s="111">
        <v>-6.1813186813186816E-2</v>
      </c>
      <c r="O19" s="111">
        <v>0.21703296703296693</v>
      </c>
      <c r="P19" s="111">
        <v>6.7307692307692291E-2</v>
      </c>
      <c r="Q19" s="111">
        <v>-0.1868131868131867</v>
      </c>
      <c r="R19" s="111">
        <v>-0.36813186813186805</v>
      </c>
      <c r="S19" s="111">
        <v>-0.48351648351648346</v>
      </c>
      <c r="T19" s="111">
        <v>-0.39285714285714279</v>
      </c>
      <c r="U19" s="111">
        <v>-0.23763736263736257</v>
      </c>
      <c r="V19" s="111">
        <v>-0.27060439560439553</v>
      </c>
      <c r="W19" s="111">
        <v>-0.10989010989010972</v>
      </c>
      <c r="X19" s="111">
        <v>1.9230769230769384E-2</v>
      </c>
      <c r="Y19" s="111">
        <v>-0.21978021978021967</v>
      </c>
      <c r="Z19" s="111">
        <v>-0.23214285714285698</v>
      </c>
      <c r="AA19" s="111">
        <v>-0.16346153846153832</v>
      </c>
      <c r="AB19" s="111">
        <v>-0.11950549450549419</v>
      </c>
      <c r="AC19" s="111">
        <v>-0.30219780219780201</v>
      </c>
      <c r="AD19" s="111">
        <v>-9.8901098901098661E-2</v>
      </c>
      <c r="AE19" s="111">
        <v>-0.21703296703296671</v>
      </c>
      <c r="AF19" s="111">
        <v>-0.17994505494505464</v>
      </c>
      <c r="AG19" s="111">
        <v>7.9670329670330275E-2</v>
      </c>
      <c r="AH19" s="111">
        <v>-9.6153846153845701E-2</v>
      </c>
      <c r="AI19" s="111">
        <v>-0.10439560439560402</v>
      </c>
      <c r="AJ19" s="112">
        <v>-0.3379120879120876</v>
      </c>
    </row>
    <row r="20" spans="2:36" ht="24" customHeight="1">
      <c r="B20" s="63" t="s">
        <v>75</v>
      </c>
      <c r="C20" s="88">
        <v>5</v>
      </c>
      <c r="D20" s="89">
        <v>7</v>
      </c>
      <c r="E20" s="89">
        <v>6</v>
      </c>
      <c r="F20" s="89">
        <v>1</v>
      </c>
      <c r="G20" s="90">
        <v>2</v>
      </c>
      <c r="J20" s="44" t="s">
        <v>83</v>
      </c>
      <c r="K20" s="199" t="s">
        <v>73</v>
      </c>
      <c r="L20" s="46">
        <v>0</v>
      </c>
      <c r="M20" s="108">
        <v>4.5863694813544909E-2</v>
      </c>
      <c r="N20" s="108">
        <v>6.5795113587655552E-2</v>
      </c>
      <c r="O20" s="108">
        <v>-7.0724389198455473E-3</v>
      </c>
      <c r="P20" s="108">
        <v>-9.9657093870552882E-2</v>
      </c>
      <c r="Q20" s="108">
        <v>-0.10758679811401617</v>
      </c>
      <c r="R20" s="108">
        <v>6.6652378911273402E-2</v>
      </c>
      <c r="S20" s="108">
        <v>0.2016716673810548</v>
      </c>
      <c r="T20" s="108">
        <v>0.34440634376339507</v>
      </c>
      <c r="U20" s="108">
        <v>0.2743249035576516</v>
      </c>
      <c r="V20" s="108">
        <v>0.4170595799399921</v>
      </c>
      <c r="W20" s="108">
        <v>0.26639519931418842</v>
      </c>
      <c r="X20" s="108">
        <v>-7.9297042434632981E-2</v>
      </c>
      <c r="Y20" s="108">
        <v>-0.12087441063008952</v>
      </c>
      <c r="Z20" s="108">
        <v>2.1860265752250863E-2</v>
      </c>
      <c r="AA20" s="108">
        <v>4.1577368195456987E-2</v>
      </c>
      <c r="AB20" s="108">
        <v>0.12687526789541415</v>
      </c>
      <c r="AC20" s="108">
        <v>0.31290184312044644</v>
      </c>
      <c r="AD20" s="108">
        <v>0.20595799399914339</v>
      </c>
      <c r="AE20" s="108">
        <v>0.21945992284612137</v>
      </c>
      <c r="AF20" s="108">
        <v>0.36648092584655001</v>
      </c>
      <c r="AG20" s="108">
        <v>0.47942563223317691</v>
      </c>
      <c r="AH20" s="108">
        <v>0.40462923274753626</v>
      </c>
      <c r="AI20" s="108">
        <v>0.40055722246035197</v>
      </c>
      <c r="AJ20" s="109">
        <v>0.42091727389627143</v>
      </c>
    </row>
    <row r="21" spans="2:36" ht="24" customHeight="1">
      <c r="B21" s="47" t="s">
        <v>76</v>
      </c>
      <c r="C21" s="91">
        <v>4</v>
      </c>
      <c r="D21" s="91">
        <v>5</v>
      </c>
      <c r="E21" s="84">
        <v>5</v>
      </c>
      <c r="F21" s="84">
        <v>5</v>
      </c>
      <c r="G21" s="85">
        <v>6</v>
      </c>
      <c r="J21" s="43" t="s">
        <v>83</v>
      </c>
      <c r="K21" s="198" t="s">
        <v>71</v>
      </c>
      <c r="L21" s="45">
        <v>0</v>
      </c>
      <c r="M21" s="118">
        <v>-0.25524044389642409</v>
      </c>
      <c r="N21" s="111">
        <v>-0.32552404438964244</v>
      </c>
      <c r="O21" s="111">
        <v>-0.39210850801479658</v>
      </c>
      <c r="P21" s="111">
        <v>-0.51405672009864367</v>
      </c>
      <c r="Q21" s="111">
        <v>-0.55240443896424174</v>
      </c>
      <c r="R21" s="111">
        <v>-0.34032059186189889</v>
      </c>
      <c r="S21" s="111">
        <v>-0.25030826140567197</v>
      </c>
      <c r="T21" s="111">
        <v>-0.28113440197287287</v>
      </c>
      <c r="U21" s="111">
        <v>-0.12330456226880371</v>
      </c>
      <c r="V21" s="111">
        <v>3.9457459926017568E-2</v>
      </c>
      <c r="W21" s="111">
        <v>-0.11220715166461126</v>
      </c>
      <c r="X21" s="111">
        <v>-0.46485819975339071</v>
      </c>
      <c r="Y21" s="111">
        <v>-0.6325524044389641</v>
      </c>
      <c r="Z21" s="111">
        <v>-0.50431565967940795</v>
      </c>
      <c r="AA21" s="111">
        <v>-0.55610357583230563</v>
      </c>
      <c r="AB21" s="111">
        <v>-0.45992601726263849</v>
      </c>
      <c r="AC21" s="111">
        <v>-0.39580764488286035</v>
      </c>
      <c r="AD21" s="111">
        <v>-0.45561035758323032</v>
      </c>
      <c r="AE21" s="111">
        <v>-0.52404438964241651</v>
      </c>
      <c r="AF21" s="111">
        <v>-0.43773119605425381</v>
      </c>
      <c r="AG21" s="111">
        <v>-0.41923551171393314</v>
      </c>
      <c r="AH21" s="111">
        <v>-0.42786683107274948</v>
      </c>
      <c r="AI21" s="111">
        <v>-0.45252774352651015</v>
      </c>
      <c r="AJ21" s="112">
        <v>-0.56473489519112186</v>
      </c>
    </row>
    <row r="22" spans="2:36" ht="24" customHeight="1">
      <c r="B22" s="64" t="s">
        <v>74</v>
      </c>
      <c r="C22" s="92">
        <v>3</v>
      </c>
      <c r="D22" s="92">
        <v>3</v>
      </c>
      <c r="E22" s="92">
        <v>2</v>
      </c>
      <c r="F22" s="92">
        <v>3</v>
      </c>
      <c r="G22" s="93">
        <v>3</v>
      </c>
      <c r="J22" s="44" t="s">
        <v>84</v>
      </c>
      <c r="K22" s="197" t="s">
        <v>73</v>
      </c>
      <c r="L22" s="42">
        <v>0</v>
      </c>
      <c r="M22" s="119">
        <v>-4.5158286778398504E-2</v>
      </c>
      <c r="N22" s="114">
        <v>0.10986964618249528</v>
      </c>
      <c r="O22" s="114">
        <v>0.13128491620111715</v>
      </c>
      <c r="P22" s="114">
        <v>0.22392923649906882</v>
      </c>
      <c r="Q22" s="114">
        <v>0.42597765363128492</v>
      </c>
      <c r="R22" s="114">
        <v>0.30982309124767227</v>
      </c>
      <c r="S22" s="114">
        <v>0.32448789571694592</v>
      </c>
      <c r="T22" s="114">
        <v>0.48417132216014891</v>
      </c>
      <c r="U22" s="114">
        <v>0.60684357541899447</v>
      </c>
      <c r="V22" s="114">
        <v>0.52560521415270034</v>
      </c>
      <c r="W22" s="114">
        <v>0.52118249534450634</v>
      </c>
      <c r="X22" s="114">
        <v>0.54329608938547458</v>
      </c>
      <c r="Y22" s="114">
        <v>0.57844506517690863</v>
      </c>
      <c r="Z22" s="114">
        <v>0.89897579143389184</v>
      </c>
      <c r="AA22" s="114"/>
      <c r="AB22" s="114"/>
      <c r="AC22" s="114"/>
      <c r="AD22" s="114"/>
      <c r="AE22" s="114"/>
      <c r="AF22" s="114"/>
      <c r="AG22" s="114"/>
      <c r="AH22" s="114"/>
      <c r="AI22" s="114"/>
      <c r="AJ22" s="115"/>
    </row>
    <row r="23" spans="2:36" ht="24" customHeight="1" thickBot="1">
      <c r="B23" s="65" t="s">
        <v>73</v>
      </c>
      <c r="C23" s="94">
        <v>8</v>
      </c>
      <c r="D23" s="94">
        <v>8</v>
      </c>
      <c r="E23" s="94">
        <v>8</v>
      </c>
      <c r="F23" s="94">
        <v>8</v>
      </c>
      <c r="G23" s="95">
        <v>8</v>
      </c>
      <c r="J23" s="43" t="s">
        <v>84</v>
      </c>
      <c r="K23" s="197" t="s">
        <v>71</v>
      </c>
      <c r="L23" s="42">
        <v>0</v>
      </c>
      <c r="M23" s="106">
        <v>-0.31336405529953915</v>
      </c>
      <c r="N23" s="100">
        <v>-7.373271889400923E-2</v>
      </c>
      <c r="O23" s="100">
        <v>-0.17050691244239624</v>
      </c>
      <c r="P23" s="100">
        <v>9.2165898617511122E-3</v>
      </c>
      <c r="Q23" s="100">
        <v>0.12903225806451624</v>
      </c>
      <c r="R23" s="100">
        <v>1.7281105990783363E-2</v>
      </c>
      <c r="S23" s="100">
        <v>-0.1105990783410139</v>
      </c>
      <c r="T23" s="100">
        <v>5.0691244239631228E-2</v>
      </c>
      <c r="U23" s="100">
        <v>8.5253456221198176E-2</v>
      </c>
      <c r="V23" s="100">
        <v>6.9124423963133452E-2</v>
      </c>
      <c r="W23" s="100">
        <v>2.3041474654377891E-2</v>
      </c>
      <c r="X23" s="100">
        <v>-0.18663594470046097</v>
      </c>
      <c r="Y23" s="100">
        <v>-0.16359447004608307</v>
      </c>
      <c r="Z23" s="100">
        <v>0.39400921658986165</v>
      </c>
      <c r="AA23" s="108"/>
      <c r="AB23" s="108"/>
      <c r="AC23" s="108"/>
      <c r="AD23" s="108"/>
      <c r="AE23" s="108"/>
      <c r="AF23" s="108"/>
      <c r="AG23" s="108"/>
      <c r="AH23" s="108"/>
      <c r="AI23" s="108"/>
      <c r="AJ23" s="109"/>
    </row>
    <row r="24" spans="2:36" ht="24" customHeight="1" thickBot="1">
      <c r="J24" s="216" t="s">
        <v>58</v>
      </c>
      <c r="K24" s="217"/>
      <c r="L24" s="40">
        <v>0</v>
      </c>
      <c r="M24" s="116">
        <f t="shared" ref="M24:AJ24" si="1">AVERAGE(M16:M23)</f>
        <v>-7.2581067958700521E-2</v>
      </c>
      <c r="N24" s="116">
        <f t="shared" si="1"/>
        <v>-3.0351167501957252E-2</v>
      </c>
      <c r="O24" s="116">
        <f t="shared" si="1"/>
        <v>-3.7620950074446227E-2</v>
      </c>
      <c r="P24" s="116">
        <f t="shared" si="1"/>
        <v>1.162737384742564E-2</v>
      </c>
      <c r="Q24" s="116">
        <f t="shared" si="1"/>
        <v>-1.7202673802903093E-2</v>
      </c>
      <c r="R24" s="116">
        <f t="shared" si="1"/>
        <v>-8.5955836154365389E-2</v>
      </c>
      <c r="S24" s="116">
        <f t="shared" si="1"/>
        <v>-5.088002536208798E-2</v>
      </c>
      <c r="T24" s="116">
        <f t="shared" si="1"/>
        <v>3.9113957185610629E-2</v>
      </c>
      <c r="U24" s="116">
        <f t="shared" si="1"/>
        <v>6.2520763233253271E-2</v>
      </c>
      <c r="V24" s="116">
        <f t="shared" si="1"/>
        <v>0.12566550207446195</v>
      </c>
      <c r="W24" s="116">
        <f t="shared" si="1"/>
        <v>0.10146647877731903</v>
      </c>
      <c r="X24" s="116">
        <f t="shared" si="1"/>
        <v>-4.5519794650294987E-3</v>
      </c>
      <c r="Y24" s="116">
        <f t="shared" si="1"/>
        <v>-5.1184470235105528E-2</v>
      </c>
      <c r="Z24" s="116">
        <f t="shared" si="1"/>
        <v>8.6813540802876774E-2</v>
      </c>
      <c r="AA24" s="116">
        <f t="shared" si="1"/>
        <v>-4.200460915837171E-2</v>
      </c>
      <c r="AB24" s="116">
        <f t="shared" si="1"/>
        <v>-3.6580954484640625E-2</v>
      </c>
      <c r="AC24" s="116">
        <f t="shared" si="1"/>
        <v>-8.5430410333180537E-2</v>
      </c>
      <c r="AD24" s="116">
        <f t="shared" si="1"/>
        <v>-8.5231454919682162E-2</v>
      </c>
      <c r="AE24" s="116">
        <f t="shared" si="1"/>
        <v>-0.1286192966285091</v>
      </c>
      <c r="AF24" s="116">
        <f t="shared" si="1"/>
        <v>-1.8630772622917718E-2</v>
      </c>
      <c r="AG24" s="116">
        <f t="shared" si="1"/>
        <v>6.7189297979502294E-2</v>
      </c>
      <c r="AH24" s="116">
        <f t="shared" si="1"/>
        <v>4.3537669856022032E-2</v>
      </c>
      <c r="AI24" s="116">
        <f t="shared" si="1"/>
        <v>4.6382751888101793E-2</v>
      </c>
      <c r="AJ24" s="117">
        <f t="shared" si="1"/>
        <v>-4.5992324293599153E-2</v>
      </c>
    </row>
    <row r="25" spans="2:36" ht="24" customHeigh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c r="M26" s="36"/>
      <c r="N26" s="36"/>
      <c r="O26" s="36"/>
      <c r="P26" s="36"/>
      <c r="Q26" s="36"/>
      <c r="R26" s="36"/>
      <c r="S26" s="36"/>
      <c r="T26" s="36"/>
      <c r="U26" s="36"/>
      <c r="V26" s="36"/>
      <c r="W26" s="36"/>
      <c r="X26" s="36"/>
      <c r="Y26" s="36"/>
      <c r="Z26" s="36"/>
      <c r="AA26" s="36"/>
      <c r="AB26" s="36"/>
      <c r="AC26" s="36"/>
      <c r="AD26" s="36"/>
      <c r="AE26" s="36"/>
      <c r="AF26" s="36"/>
      <c r="AG26" s="36"/>
      <c r="AH26" s="36"/>
      <c r="AI26" s="36"/>
      <c r="AJ26" s="36"/>
    </row>
    <row r="27" spans="2:36" ht="24" customHeight="1"/>
    <row r="28" spans="2:36" ht="24" customHeight="1">
      <c r="M28" s="36"/>
      <c r="N28" s="36"/>
      <c r="O28" s="36"/>
      <c r="P28" s="36"/>
      <c r="Q28" s="36"/>
      <c r="R28" s="36"/>
      <c r="S28" s="36"/>
      <c r="T28" s="36"/>
      <c r="U28" s="36"/>
      <c r="V28" s="36"/>
      <c r="W28" s="36"/>
      <c r="X28" s="36"/>
      <c r="Y28" s="36"/>
      <c r="Z28" s="36"/>
      <c r="AA28" s="36"/>
      <c r="AB28" s="36"/>
      <c r="AC28" s="36"/>
      <c r="AD28" s="36"/>
      <c r="AE28" s="36"/>
      <c r="AF28" s="36"/>
      <c r="AG28" s="36"/>
      <c r="AH28" s="36"/>
      <c r="AI28" s="36"/>
      <c r="AJ28" s="36"/>
    </row>
    <row r="29" spans="2:36" ht="24" customHeight="1">
      <c r="M29" s="36"/>
      <c r="N29" s="36"/>
      <c r="O29" s="36"/>
      <c r="W29" s="36"/>
      <c r="X29" s="36"/>
      <c r="Y29" s="36"/>
      <c r="Z29" s="36"/>
      <c r="AA29" s="36"/>
      <c r="AB29" s="36"/>
      <c r="AC29" s="36"/>
      <c r="AD29" s="36"/>
      <c r="AE29" s="36"/>
      <c r="AF29" s="36"/>
      <c r="AG29" s="36"/>
      <c r="AH29" s="36"/>
      <c r="AI29" s="36"/>
      <c r="AJ29" s="36"/>
    </row>
    <row r="30" spans="2:36" ht="17.55" customHeight="1"/>
    <row r="31" spans="2:36" ht="17.55" customHeight="1"/>
    <row r="32" spans="2:36" ht="17.55" customHeight="1"/>
    <row r="33" ht="17.55" customHeight="1"/>
    <row r="34" ht="17.55" customHeight="1"/>
    <row r="35" ht="17.55" customHeight="1"/>
    <row r="36" ht="17.55" customHeight="1"/>
    <row r="37" ht="17.55" customHeight="1"/>
    <row r="38" ht="17.55" customHeight="1"/>
    <row r="55" spans="10:36" ht="35.25" hidden="1" thickBot="1">
      <c r="J55" s="204" t="s">
        <v>106</v>
      </c>
      <c r="K55" s="205"/>
      <c r="L55" s="155">
        <v>0</v>
      </c>
      <c r="M55" s="156" t="s">
        <v>4</v>
      </c>
      <c r="N55" s="156" t="s">
        <v>5</v>
      </c>
      <c r="O55" s="156" t="s">
        <v>6</v>
      </c>
      <c r="P55" s="156" t="s">
        <v>7</v>
      </c>
      <c r="Q55" s="156" t="s">
        <v>8</v>
      </c>
      <c r="R55" s="156" t="s">
        <v>9</v>
      </c>
      <c r="S55" s="156" t="s">
        <v>10</v>
      </c>
      <c r="T55" s="156" t="s">
        <v>11</v>
      </c>
      <c r="U55" s="156" t="s">
        <v>12</v>
      </c>
      <c r="V55" s="156" t="s">
        <v>13</v>
      </c>
      <c r="W55" s="156" t="s">
        <v>14</v>
      </c>
      <c r="X55" s="156" t="s">
        <v>15</v>
      </c>
      <c r="Y55" s="156" t="s">
        <v>16</v>
      </c>
      <c r="Z55" s="156" t="s">
        <v>17</v>
      </c>
      <c r="AA55" s="156" t="s">
        <v>18</v>
      </c>
      <c r="AB55" s="156" t="s">
        <v>19</v>
      </c>
      <c r="AC55" s="156" t="s">
        <v>20</v>
      </c>
      <c r="AD55" s="156" t="s">
        <v>21</v>
      </c>
      <c r="AE55" s="156" t="s">
        <v>22</v>
      </c>
      <c r="AF55" s="156" t="s">
        <v>23</v>
      </c>
      <c r="AG55" s="156" t="s">
        <v>24</v>
      </c>
      <c r="AH55" s="156" t="s">
        <v>25</v>
      </c>
      <c r="AI55" s="156" t="s">
        <v>26</v>
      </c>
      <c r="AJ55" s="157" t="s">
        <v>27</v>
      </c>
    </row>
    <row r="56" spans="10:36" hidden="1">
      <c r="J56" s="206" t="s">
        <v>91</v>
      </c>
      <c r="K56" s="207"/>
      <c r="L56" s="158">
        <v>0</v>
      </c>
      <c r="M56" s="147">
        <v>-8.7956719149039353E-2</v>
      </c>
      <c r="N56" s="147">
        <v>-8.7908158422747573E-2</v>
      </c>
      <c r="O56" s="147">
        <v>-0.16445089958745451</v>
      </c>
      <c r="P56" s="147">
        <v>-8.8318717290488125E-2</v>
      </c>
      <c r="Q56" s="147">
        <v>-0.12701057961641449</v>
      </c>
      <c r="R56" s="147">
        <v>-0.20854403906048247</v>
      </c>
      <c r="S56" s="147">
        <v>-0.14533563187437792</v>
      </c>
      <c r="T56" s="147">
        <v>-9.9394977496518044E-2</v>
      </c>
      <c r="U56" s="147">
        <v>-0.15250496091965193</v>
      </c>
      <c r="V56" s="147">
        <v>-0.10016974181144767</v>
      </c>
      <c r="W56" s="147">
        <v>-0.12366651141949625</v>
      </c>
      <c r="X56" s="147">
        <v>-9.2949644734141024E-2</v>
      </c>
      <c r="Y56" s="147">
        <v>-7.966828609331178E-2</v>
      </c>
      <c r="Z56" s="147">
        <v>-7.7383724651852726E-2</v>
      </c>
      <c r="AA56" s="147">
        <v>-1.7665067841541982E-2</v>
      </c>
      <c r="AB56" s="147">
        <v>1.2923775110861957E-2</v>
      </c>
      <c r="AC56" s="147">
        <v>-5.0216205597285457E-3</v>
      </c>
      <c r="AD56" s="147">
        <v>-5.3496261927728272E-2</v>
      </c>
      <c r="AE56" s="147">
        <v>-7.4300118532318216E-2</v>
      </c>
      <c r="AF56" s="147">
        <v>8.2531161638792483E-3</v>
      </c>
      <c r="AG56" s="147">
        <v>5.2847314040009641E-2</v>
      </c>
      <c r="AH56" s="147">
        <v>6.9583106164784025E-2</v>
      </c>
      <c r="AI56" s="147">
        <v>0.12490260263419861</v>
      </c>
      <c r="AJ56" s="152">
        <v>0.15979569178065556</v>
      </c>
    </row>
    <row r="57" spans="10:36" hidden="1">
      <c r="J57" s="208" t="s">
        <v>92</v>
      </c>
      <c r="K57" s="209"/>
      <c r="L57" s="160">
        <v>0</v>
      </c>
      <c r="M57" s="147">
        <v>1.464236088297044E-2</v>
      </c>
      <c r="N57" s="147">
        <v>1.7161031900732704E-2</v>
      </c>
      <c r="O57" s="147">
        <v>8.2999335654890816E-2</v>
      </c>
      <c r="P57" s="147">
        <v>0.11672275880865635</v>
      </c>
      <c r="Q57" s="147">
        <v>9.693841545174231E-2</v>
      </c>
      <c r="R57" s="147">
        <v>4.3496353402395993E-2</v>
      </c>
      <c r="S57" s="147">
        <v>2.056062940006953E-2</v>
      </c>
      <c r="T57" s="147">
        <v>0.11157347583900945</v>
      </c>
      <c r="U57" s="147">
        <v>0.16073744740601215</v>
      </c>
      <c r="V57" s="147">
        <v>0.1791882335477244</v>
      </c>
      <c r="W57" s="147">
        <v>0.24017657465608577</v>
      </c>
      <c r="X57" s="147">
        <v>0.27864532001722919</v>
      </c>
      <c r="Y57" s="147">
        <v>0.2254344403318318</v>
      </c>
      <c r="Z57" s="147">
        <v>0.2842813027004536</v>
      </c>
      <c r="AA57" s="147">
        <v>0.32880702599706524</v>
      </c>
      <c r="AB57" s="147">
        <v>0.34385091414373714</v>
      </c>
      <c r="AC57" s="147">
        <v>0.3745373310847806</v>
      </c>
      <c r="AD57" s="147">
        <v>0.40229868274722502</v>
      </c>
      <c r="AE57" s="147">
        <v>0.38842044041457058</v>
      </c>
      <c r="AF57" s="147">
        <v>0.46797880909447076</v>
      </c>
      <c r="AG57" s="147">
        <v>0.43129381818358792</v>
      </c>
      <c r="AH57" s="147">
        <v>0.46996211042729796</v>
      </c>
      <c r="AI57" s="147">
        <v>0.44902672224777396</v>
      </c>
      <c r="AJ57" s="152">
        <v>0.36564289381915693</v>
      </c>
    </row>
    <row r="58" spans="10:36" hidden="1">
      <c r="J58" s="210" t="s">
        <v>93</v>
      </c>
      <c r="K58" s="211"/>
      <c r="L58" s="158">
        <v>0</v>
      </c>
      <c r="M58" s="147">
        <v>-4.1615042774082567E-2</v>
      </c>
      <c r="N58" s="147">
        <v>4.4077764138286124E-3</v>
      </c>
      <c r="O58" s="147">
        <v>3.9230351994061996E-2</v>
      </c>
      <c r="P58" s="147">
        <v>5.0995841540818487E-2</v>
      </c>
      <c r="Q58" s="147">
        <v>7.4995004139427168E-2</v>
      </c>
      <c r="R58" s="147">
        <v>9.670653839199872E-2</v>
      </c>
      <c r="S58" s="147">
        <v>8.585267445069289E-2</v>
      </c>
      <c r="T58" s="147">
        <v>0.1480735010039298</v>
      </c>
      <c r="U58" s="147">
        <v>0.11938298742946296</v>
      </c>
      <c r="V58" s="147">
        <v>0.14962459676268214</v>
      </c>
      <c r="W58" s="147">
        <v>0.13325149637919043</v>
      </c>
      <c r="X58" s="147">
        <v>6.8038863037292785E-2</v>
      </c>
      <c r="Y58" s="147">
        <v>5.9895134507598424E-2</v>
      </c>
      <c r="Z58" s="147">
        <v>0.12510396147953573</v>
      </c>
      <c r="AA58" s="147">
        <v>0.18091676420489677</v>
      </c>
      <c r="AB58" s="147">
        <v>0.20650318307687909</v>
      </c>
      <c r="AC58" s="147">
        <v>0.22950697993091418</v>
      </c>
      <c r="AD58" s="147">
        <v>0.27293766117597773</v>
      </c>
      <c r="AE58" s="147">
        <v>0.30181659006347084</v>
      </c>
      <c r="AF58" s="147">
        <v>0.30350852151074781</v>
      </c>
      <c r="AG58" s="147">
        <v>0.30282527810290483</v>
      </c>
      <c r="AH58" s="147">
        <v>0.32062576722144454</v>
      </c>
      <c r="AI58" s="147">
        <v>0.30917810956635883</v>
      </c>
      <c r="AJ58" s="152">
        <v>0.24249812060483178</v>
      </c>
    </row>
    <row r="59" spans="10:36" ht="17.25" hidden="1" thickBot="1">
      <c r="J59" s="212" t="s">
        <v>94</v>
      </c>
      <c r="K59" s="213"/>
      <c r="L59" s="160">
        <v>0</v>
      </c>
      <c r="M59" s="147">
        <v>-7.6249365182604611E-3</v>
      </c>
      <c r="N59" s="147">
        <v>5.3429795878364272E-2</v>
      </c>
      <c r="O59" s="147">
        <v>0.10568707289040136</v>
      </c>
      <c r="P59" s="147">
        <v>0.12964352218965214</v>
      </c>
      <c r="Q59" s="147">
        <v>0.15118187407004813</v>
      </c>
      <c r="R59" s="147">
        <v>0.19184582624268276</v>
      </c>
      <c r="S59" s="147">
        <v>0.21888503791084912</v>
      </c>
      <c r="T59" s="147">
        <v>0.22046918574088736</v>
      </c>
      <c r="U59" s="147">
        <v>0.21982946800074821</v>
      </c>
      <c r="V59" s="147">
        <v>0.23649598617211764</v>
      </c>
      <c r="W59" s="147">
        <v>0.22577759562354638</v>
      </c>
      <c r="X59" s="147">
        <v>0.16334542085052139</v>
      </c>
      <c r="Y59" s="147">
        <v>0.2846048985628622</v>
      </c>
      <c r="Z59" s="147">
        <v>0.35072391457362495</v>
      </c>
      <c r="AA59" s="161"/>
      <c r="AB59" s="161"/>
      <c r="AC59" s="161"/>
      <c r="AD59" s="161"/>
      <c r="AE59" s="161"/>
      <c r="AF59" s="161"/>
      <c r="AG59" s="161"/>
      <c r="AH59" s="161"/>
      <c r="AI59" s="161"/>
      <c r="AJ59" s="159"/>
    </row>
    <row r="60" spans="10:36" ht="17.25" hidden="1" thickBot="1">
      <c r="J60" s="202" t="s">
        <v>58</v>
      </c>
      <c r="K60" s="203"/>
      <c r="L60" s="155">
        <v>0</v>
      </c>
      <c r="M60" s="162">
        <f>AVERAGE(M56:M59)</f>
        <v>-3.0638584389602985E-2</v>
      </c>
      <c r="N60" s="156">
        <f t="shared" ref="N60:AH60" si="2">AVERAGE(N56:N59)</f>
        <v>-3.2273885574554961E-3</v>
      </c>
      <c r="O60" s="156">
        <f t="shared" si="2"/>
        <v>1.5866465237974914E-2</v>
      </c>
      <c r="P60" s="156">
        <f t="shared" si="2"/>
        <v>5.2260851312159712E-2</v>
      </c>
      <c r="Q60" s="156">
        <f t="shared" si="2"/>
        <v>4.902617851120078E-2</v>
      </c>
      <c r="R60" s="156">
        <f t="shared" si="2"/>
        <v>3.0876169744148751E-2</v>
      </c>
      <c r="S60" s="156">
        <f t="shared" si="2"/>
        <v>4.4990677471808405E-2</v>
      </c>
      <c r="T60" s="156">
        <f t="shared" si="2"/>
        <v>9.5180296271827142E-2</v>
      </c>
      <c r="U60" s="156">
        <f t="shared" si="2"/>
        <v>8.6861235479142845E-2</v>
      </c>
      <c r="V60" s="156">
        <f t="shared" si="2"/>
        <v>0.11628476866776913</v>
      </c>
      <c r="W60" s="156">
        <f t="shared" si="2"/>
        <v>0.11888478880983158</v>
      </c>
      <c r="X60" s="156">
        <f t="shared" si="2"/>
        <v>0.10426998979272559</v>
      </c>
      <c r="Y60" s="156">
        <f t="shared" si="2"/>
        <v>0.12256654682724516</v>
      </c>
      <c r="Z60" s="156">
        <f t="shared" si="2"/>
        <v>0.17068136352544039</v>
      </c>
      <c r="AA60" s="156">
        <f t="shared" si="2"/>
        <v>0.16401957412014001</v>
      </c>
      <c r="AB60" s="156">
        <f t="shared" si="2"/>
        <v>0.18775929077715939</v>
      </c>
      <c r="AC60" s="156">
        <f t="shared" si="2"/>
        <v>0.19967423015198874</v>
      </c>
      <c r="AD60" s="156">
        <f t="shared" si="2"/>
        <v>0.20724669399849149</v>
      </c>
      <c r="AE60" s="156">
        <f t="shared" si="2"/>
        <v>0.20531230398190772</v>
      </c>
      <c r="AF60" s="156">
        <f t="shared" si="2"/>
        <v>0.25991348225636596</v>
      </c>
      <c r="AG60" s="156">
        <f t="shared" si="2"/>
        <v>0.26232213677550081</v>
      </c>
      <c r="AH60" s="156">
        <f t="shared" si="2"/>
        <v>0.28672366127117549</v>
      </c>
      <c r="AI60" s="156">
        <f>AVERAGE(AI56:AI58)</f>
        <v>0.29436914481611048</v>
      </c>
      <c r="AJ60" s="157">
        <f>AVERAGE(AJ56:AJ58)</f>
        <v>0.25597890206821478</v>
      </c>
    </row>
    <row r="97" spans="10:36" ht="35.25" hidden="1" thickBot="1">
      <c r="J97" s="214" t="s">
        <v>132</v>
      </c>
      <c r="K97" s="215"/>
      <c r="L97" s="155">
        <v>0</v>
      </c>
      <c r="M97" s="156" t="s">
        <v>4</v>
      </c>
      <c r="N97" s="156" t="s">
        <v>5</v>
      </c>
      <c r="O97" s="156" t="s">
        <v>6</v>
      </c>
      <c r="P97" s="156" t="s">
        <v>7</v>
      </c>
      <c r="Q97" s="156" t="s">
        <v>8</v>
      </c>
      <c r="R97" s="156" t="s">
        <v>9</v>
      </c>
      <c r="S97" s="156" t="s">
        <v>10</v>
      </c>
      <c r="T97" s="156" t="s">
        <v>11</v>
      </c>
      <c r="U97" s="156" t="s">
        <v>12</v>
      </c>
      <c r="V97" s="156" t="s">
        <v>13</v>
      </c>
      <c r="W97" s="156" t="s">
        <v>14</v>
      </c>
      <c r="X97" s="156" t="s">
        <v>15</v>
      </c>
      <c r="Y97" s="156" t="s">
        <v>16</v>
      </c>
      <c r="Z97" s="156" t="s">
        <v>17</v>
      </c>
      <c r="AA97" s="156" t="s">
        <v>18</v>
      </c>
      <c r="AB97" s="156" t="s">
        <v>19</v>
      </c>
      <c r="AC97" s="156" t="s">
        <v>20</v>
      </c>
      <c r="AD97" s="156" t="s">
        <v>21</v>
      </c>
      <c r="AE97" s="156" t="s">
        <v>22</v>
      </c>
      <c r="AF97" s="156" t="s">
        <v>23</v>
      </c>
      <c r="AG97" s="156" t="s">
        <v>24</v>
      </c>
      <c r="AH97" s="156" t="s">
        <v>25</v>
      </c>
      <c r="AI97" s="156" t="s">
        <v>26</v>
      </c>
      <c r="AJ97" s="157" t="s">
        <v>27</v>
      </c>
    </row>
    <row r="98" spans="10:36" hidden="1">
      <c r="J98" s="206" t="s">
        <v>91</v>
      </c>
      <c r="K98" s="207"/>
      <c r="L98" s="158">
        <v>0</v>
      </c>
      <c r="M98" s="148">
        <v>2.0173610393732444E-2</v>
      </c>
      <c r="N98" s="149">
        <v>-2.2892203548743217E-2</v>
      </c>
      <c r="O98" s="149">
        <v>-0.25098955584122706</v>
      </c>
      <c r="P98" s="149">
        <v>-0.19091191988551515</v>
      </c>
      <c r="Q98" s="149">
        <v>-0.22463223846682234</v>
      </c>
      <c r="R98" s="149">
        <v>-0.32220676849064778</v>
      </c>
      <c r="S98" s="149">
        <v>-0.1837512270602133</v>
      </c>
      <c r="T98" s="149">
        <v>-0.14182265499171476</v>
      </c>
      <c r="U98" s="149">
        <v>-0.24749354267847523</v>
      </c>
      <c r="V98" s="149">
        <v>-0.11354519064616742</v>
      </c>
      <c r="W98" s="149">
        <v>-0.1302233363860904</v>
      </c>
      <c r="X98" s="149">
        <v>-0.20283842407530084</v>
      </c>
      <c r="Y98" s="149">
        <v>-0.22236515958959102</v>
      </c>
      <c r="Z98" s="149">
        <v>-0.19757694346317212</v>
      </c>
      <c r="AA98" s="149">
        <v>-1.942032477945832E-2</v>
      </c>
      <c r="AB98" s="149">
        <v>-4.9373758198608897E-2</v>
      </c>
      <c r="AC98" s="149">
        <v>-0.14669460283655911</v>
      </c>
      <c r="AD98" s="149">
        <v>-0.26169078247177502</v>
      </c>
      <c r="AE98" s="149">
        <v>-0.37824792713899735</v>
      </c>
      <c r="AF98" s="149">
        <v>-0.28576602839118836</v>
      </c>
      <c r="AG98" s="149">
        <v>-0.20796204610656455</v>
      </c>
      <c r="AH98" s="149">
        <v>-0.22558307871852945</v>
      </c>
      <c r="AI98" s="149">
        <v>-0.14505885775206773</v>
      </c>
      <c r="AJ98" s="150">
        <v>-0.1258225577227956</v>
      </c>
    </row>
    <row r="99" spans="10:36" hidden="1">
      <c r="J99" s="208" t="s">
        <v>92</v>
      </c>
      <c r="K99" s="209"/>
      <c r="L99" s="160">
        <v>0</v>
      </c>
      <c r="M99" s="151">
        <v>-2.4495329559304668E-2</v>
      </c>
      <c r="N99" s="147">
        <v>6.6002687171988761E-3</v>
      </c>
      <c r="O99" s="147">
        <v>0.2300889867691871</v>
      </c>
      <c r="P99" s="147">
        <v>0.19251387737633285</v>
      </c>
      <c r="Q99" s="147">
        <v>7.0429663112669738E-2</v>
      </c>
      <c r="R99" s="147">
        <v>-7.3827389796361387E-2</v>
      </c>
      <c r="S99" s="147">
        <v>-0.22004259658429171</v>
      </c>
      <c r="T99" s="147">
        <v>-0.10402860200542485</v>
      </c>
      <c r="U99" s="147">
        <v>-6.4273319061077805E-3</v>
      </c>
      <c r="V99" s="147">
        <v>-2.8532050879202631E-2</v>
      </c>
      <c r="W99" s="147">
        <v>7.2481624890423424E-2</v>
      </c>
      <c r="X99" s="147">
        <v>9.6612617414690849E-2</v>
      </c>
      <c r="Y99" s="147">
        <v>6.9363601709551359E-2</v>
      </c>
      <c r="Z99" s="147">
        <v>7.5903090247785743E-2</v>
      </c>
      <c r="AA99" s="147">
        <v>4.2810805752511172E-2</v>
      </c>
      <c r="AB99" s="147">
        <v>-2.4547967487879574E-2</v>
      </c>
      <c r="AC99" s="147">
        <v>-3.1051102598318336E-2</v>
      </c>
      <c r="AD99" s="147">
        <v>0.10753550365208597</v>
      </c>
      <c r="AE99" s="147">
        <v>0.27017041844744938</v>
      </c>
      <c r="AF99" s="147">
        <v>0.4265465803236439</v>
      </c>
      <c r="AG99" s="147">
        <v>0.46035549753278326</v>
      </c>
      <c r="AH99" s="147">
        <v>0.54323397341360291</v>
      </c>
      <c r="AI99" s="147">
        <v>0.3998984856331711</v>
      </c>
      <c r="AJ99" s="152">
        <v>0.11340423130963617</v>
      </c>
    </row>
    <row r="100" spans="10:36" hidden="1">
      <c r="J100" s="210" t="s">
        <v>93</v>
      </c>
      <c r="K100" s="211"/>
      <c r="L100" s="158">
        <v>0</v>
      </c>
      <c r="M100" s="151">
        <v>-2.4848351434602511E-2</v>
      </c>
      <c r="N100" s="147">
        <v>-1.8884998073183445E-2</v>
      </c>
      <c r="O100" s="147">
        <v>-4.9061820744885853E-2</v>
      </c>
      <c r="P100" s="147">
        <v>-0.110486221823903</v>
      </c>
      <c r="Q100" s="147">
        <v>-0.11641642452918477</v>
      </c>
      <c r="R100" s="147">
        <v>9.9605695429132446E-3</v>
      </c>
      <c r="S100" s="147">
        <v>0.15826719324270422</v>
      </c>
      <c r="T100" s="147">
        <v>0.3008664661243694</v>
      </c>
      <c r="U100" s="147">
        <v>0.33169678548440484</v>
      </c>
      <c r="V100" s="147">
        <v>0.40727358860035734</v>
      </c>
      <c r="W100" s="147">
        <v>0.27656609398995324</v>
      </c>
      <c r="X100" s="147">
        <v>1.5312256696929261E-2</v>
      </c>
      <c r="Y100" s="147">
        <v>-7.0424229051164411E-2</v>
      </c>
      <c r="Z100" s="147">
        <v>8.2341314763388684E-2</v>
      </c>
      <c r="AA100" s="147">
        <v>7.6948424585656205E-2</v>
      </c>
      <c r="AB100" s="147">
        <v>0.11953687383038059</v>
      </c>
      <c r="AC100" s="147">
        <v>0.28502348520063725</v>
      </c>
      <c r="AD100" s="147">
        <v>0.18929380213450475</v>
      </c>
      <c r="AE100" s="147">
        <v>0.16085514052165739</v>
      </c>
      <c r="AF100" s="147">
        <v>0.27021884138979679</v>
      </c>
      <c r="AG100" s="147">
        <v>0.40400181753439623</v>
      </c>
      <c r="AH100" s="147">
        <v>0.39732765972576978</v>
      </c>
      <c r="AI100" s="147">
        <v>0.39363643351228061</v>
      </c>
      <c r="AJ100" s="152">
        <v>0.22671074902182031</v>
      </c>
    </row>
    <row r="101" spans="10:36" ht="17.25" hidden="1" thickBot="1">
      <c r="J101" s="212" t="s">
        <v>94</v>
      </c>
      <c r="K101" s="213"/>
      <c r="L101" s="160">
        <v>0</v>
      </c>
      <c r="M101" s="151">
        <v>-8.44434657245412E-2</v>
      </c>
      <c r="N101" s="147">
        <v>6.6018170887173211E-2</v>
      </c>
      <c r="O101" s="147">
        <v>6.0706612652589476E-2</v>
      </c>
      <c r="P101" s="147">
        <v>0.1026527715449046</v>
      </c>
      <c r="Q101" s="147">
        <v>0.2656436251258778</v>
      </c>
      <c r="R101" s="147">
        <v>0.17135767276520641</v>
      </c>
      <c r="S101" s="147">
        <v>0.1433479039228942</v>
      </c>
      <c r="T101" s="147">
        <v>0.25106225499743706</v>
      </c>
      <c r="U101" s="147">
        <v>0.3828276062597471</v>
      </c>
      <c r="V101" s="147">
        <v>0.37625410361107492</v>
      </c>
      <c r="W101" s="147">
        <v>0.37261854598912936</v>
      </c>
      <c r="X101" s="147">
        <v>0.20821032242102988</v>
      </c>
      <c r="Y101" s="147">
        <v>0.21988413224378212</v>
      </c>
      <c r="Z101" s="147">
        <v>0.42359195400227034</v>
      </c>
      <c r="AA101" s="161"/>
      <c r="AB101" s="161"/>
      <c r="AC101" s="161"/>
      <c r="AD101" s="161"/>
      <c r="AE101" s="161"/>
      <c r="AF101" s="161"/>
      <c r="AG101" s="161"/>
      <c r="AH101" s="161"/>
      <c r="AI101" s="161"/>
      <c r="AJ101" s="159"/>
    </row>
    <row r="102" spans="10:36" ht="17.25" hidden="1" thickBot="1">
      <c r="J102" s="202" t="s">
        <v>58</v>
      </c>
      <c r="K102" s="203"/>
      <c r="L102" s="155">
        <v>0</v>
      </c>
      <c r="M102" s="162">
        <f>AVERAGE(M98:M101)</f>
        <v>-2.8403384081178984E-2</v>
      </c>
      <c r="N102" s="156">
        <f t="shared" ref="N102:AH102" si="3">AVERAGE(N98:N101)</f>
        <v>7.710309495611356E-3</v>
      </c>
      <c r="O102" s="156">
        <f t="shared" si="3"/>
        <v>-2.3139442910840857E-3</v>
      </c>
      <c r="P102" s="156">
        <f t="shared" si="3"/>
        <v>-1.5578731970451731E-3</v>
      </c>
      <c r="Q102" s="156">
        <f t="shared" si="3"/>
        <v>-1.243843689364893E-3</v>
      </c>
      <c r="R102" s="156">
        <f t="shared" si="3"/>
        <v>-5.3678978994722376E-2</v>
      </c>
      <c r="S102" s="156">
        <f t="shared" si="3"/>
        <v>-2.5544681619726645E-2</v>
      </c>
      <c r="T102" s="156">
        <f t="shared" si="3"/>
        <v>7.6519366031166713E-2</v>
      </c>
      <c r="U102" s="156">
        <f t="shared" si="3"/>
        <v>0.11515087928989223</v>
      </c>
      <c r="V102" s="156">
        <f t="shared" si="3"/>
        <v>0.16036261267151555</v>
      </c>
      <c r="W102" s="156">
        <f t="shared" si="3"/>
        <v>0.1478607321208539</v>
      </c>
      <c r="X102" s="156">
        <f t="shared" si="3"/>
        <v>2.9324193114337288E-2</v>
      </c>
      <c r="Y102" s="156">
        <f t="shared" si="3"/>
        <v>-8.8541367185548947E-4</v>
      </c>
      <c r="Z102" s="156">
        <f t="shared" si="3"/>
        <v>9.6064853887568163E-2</v>
      </c>
      <c r="AA102" s="156">
        <f t="shared" si="3"/>
        <v>3.3446301852903017E-2</v>
      </c>
      <c r="AB102" s="156">
        <f t="shared" si="3"/>
        <v>1.5205049381297372E-2</v>
      </c>
      <c r="AC102" s="156">
        <f t="shared" si="3"/>
        <v>3.5759259921919938E-2</v>
      </c>
      <c r="AD102" s="156">
        <f t="shared" si="3"/>
        <v>1.1712841104938568E-2</v>
      </c>
      <c r="AE102" s="156">
        <f t="shared" si="3"/>
        <v>1.7592543943369805E-2</v>
      </c>
      <c r="AF102" s="156">
        <f t="shared" si="3"/>
        <v>0.13699979777408411</v>
      </c>
      <c r="AG102" s="156">
        <f t="shared" si="3"/>
        <v>0.21879842298687166</v>
      </c>
      <c r="AH102" s="156">
        <f t="shared" si="3"/>
        <v>0.23832618480694776</v>
      </c>
      <c r="AI102" s="156">
        <f>AVERAGE(AI98:AI100)</f>
        <v>0.21615868713112799</v>
      </c>
      <c r="AJ102" s="157">
        <f>AVERAGE(AJ98:AJ100)</f>
        <v>7.1430807536220289E-2</v>
      </c>
    </row>
  </sheetData>
  <mergeCells count="18">
    <mergeCell ref="J24:K24"/>
    <mergeCell ref="F1:H1"/>
    <mergeCell ref="J2:K2"/>
    <mergeCell ref="J15:K15"/>
    <mergeCell ref="B2:D3"/>
    <mergeCell ref="J11:K11"/>
    <mergeCell ref="J55:K55"/>
    <mergeCell ref="J56:K56"/>
    <mergeCell ref="J57:K57"/>
    <mergeCell ref="J58:K58"/>
    <mergeCell ref="J59:K59"/>
    <mergeCell ref="J101:K101"/>
    <mergeCell ref="J102:K102"/>
    <mergeCell ref="J60:K60"/>
    <mergeCell ref="J97:K97"/>
    <mergeCell ref="J98:K98"/>
    <mergeCell ref="J99:K99"/>
    <mergeCell ref="J100:K100"/>
  </mergeCells>
  <phoneticPr fontId="13" type="noConversion"/>
  <conditionalFormatting sqref="C16:G23">
    <cfRule type="cellIs" dxfId="180" priority="6" operator="between">
      <formula>7</formula>
      <formula>8</formula>
    </cfRule>
    <cfRule type="cellIs" dxfId="179" priority="7" operator="between">
      <formula>1</formula>
      <formula>2</formula>
    </cfRule>
  </conditionalFormatting>
  <conditionalFormatting sqref="F3">
    <cfRule type="cellIs" dxfId="178" priority="2" operator="equal">
      <formula>"GOOD"</formula>
    </cfRule>
    <cfRule type="cellIs" dxfId="177" priority="4" operator="equal">
      <formula>"GOOD"</formula>
    </cfRule>
    <cfRule type="top10" dxfId="176" priority="5" percent="1" rank="10"/>
  </conditionalFormatting>
  <conditionalFormatting sqref="G3">
    <cfRule type="cellIs" dxfId="175" priority="1" operator="equal">
      <formula>"BAD"</formula>
    </cfRule>
    <cfRule type="cellIs" dxfId="174" priority="3" operator="equal">
      <formula>"BAD"</formula>
    </cfRule>
  </conditionalFormatting>
  <pageMargins left="0.7" right="0.7" top="0.75" bottom="0.75" header="0.3" footer="0.3"/>
  <pageSetup paperSize="9" orientation="portrait" horizontalDpi="360" verticalDpi="36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BE818-A42A-DB40-9204-167D6B43D322}">
  <dimension ref="B1:AJ73"/>
  <sheetViews>
    <sheetView topLeftCell="A21" zoomScale="40" zoomScaleNormal="40" workbookViewId="0">
      <selection activeCell="B15" sqref="B15:G2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18"/>
      <c r="G1" s="219"/>
      <c r="H1" s="219"/>
    </row>
    <row r="2" spans="2:36" ht="24" customHeight="1" thickBot="1">
      <c r="B2" s="246" t="s">
        <v>85</v>
      </c>
      <c r="C2" s="247"/>
      <c r="D2" s="248"/>
      <c r="J2" s="226" t="s">
        <v>60</v>
      </c>
      <c r="K2" s="252"/>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49"/>
      <c r="C3" s="250"/>
      <c r="D3" s="251"/>
      <c r="F3" s="188" t="s">
        <v>130</v>
      </c>
      <c r="G3" s="189" t="s">
        <v>129</v>
      </c>
      <c r="J3" s="163" t="s">
        <v>81</v>
      </c>
      <c r="K3" s="192" t="s">
        <v>99</v>
      </c>
      <c r="L3" s="166">
        <v>0</v>
      </c>
      <c r="M3" s="147">
        <v>2.0032995522036412E-2</v>
      </c>
      <c r="N3" s="147">
        <v>1.1784115012962726E-3</v>
      </c>
      <c r="O3" s="147">
        <v>-0.21140702333254768</v>
      </c>
      <c r="P3" s="147">
        <v>-0.16780579778458626</v>
      </c>
      <c r="Q3" s="147">
        <v>-0.19868017911854818</v>
      </c>
      <c r="R3" s="147">
        <v>-0.32665566815932123</v>
      </c>
      <c r="S3" s="147">
        <v>-0.20645769502710343</v>
      </c>
      <c r="T3" s="147">
        <v>-0.12868253594155077</v>
      </c>
      <c r="U3" s="147">
        <v>-0.2649069054913975</v>
      </c>
      <c r="V3" s="147">
        <v>-0.21894885694084365</v>
      </c>
      <c r="W3" s="147">
        <v>-0.26302144708932351</v>
      </c>
      <c r="X3" s="147">
        <v>-0.2858826302144708</v>
      </c>
      <c r="Y3" s="147">
        <v>-0.33160499646476538</v>
      </c>
      <c r="Z3" s="147">
        <v>-0.34103228847513534</v>
      </c>
      <c r="AA3" s="147">
        <v>-0.20103700212114051</v>
      </c>
      <c r="AB3" s="147">
        <v>-0.24228140466650938</v>
      </c>
      <c r="AC3" s="147">
        <v>-0.29908083902898874</v>
      </c>
      <c r="AD3" s="147">
        <v>-0.39948149893942952</v>
      </c>
      <c r="AE3" s="147">
        <v>-0.50412444025453684</v>
      </c>
      <c r="AF3" s="147">
        <v>-0.4296488333726135</v>
      </c>
      <c r="AG3" s="147">
        <v>-0.35564459109120872</v>
      </c>
      <c r="AH3" s="147">
        <v>-0.32901249116191345</v>
      </c>
      <c r="AI3" s="147">
        <v>-0.23073297195380593</v>
      </c>
      <c r="AJ3" s="152">
        <v>-0.34480320527928321</v>
      </c>
    </row>
    <row r="4" spans="2:36" ht="24" customHeight="1" thickBot="1">
      <c r="J4" s="164" t="s">
        <v>81</v>
      </c>
      <c r="K4" s="196" t="s">
        <v>101</v>
      </c>
      <c r="L4" s="167">
        <v>0</v>
      </c>
      <c r="M4" s="147">
        <v>-4.4342507645259932E-2</v>
      </c>
      <c r="N4" s="147">
        <v>-7.9701834862385357E-2</v>
      </c>
      <c r="O4" s="147">
        <v>-0.30358053007135566</v>
      </c>
      <c r="P4" s="147">
        <v>-0.28994648318042804</v>
      </c>
      <c r="Q4" s="147">
        <v>-0.40577217125382259</v>
      </c>
      <c r="R4" s="147">
        <v>-0.55058613659531086</v>
      </c>
      <c r="S4" s="147">
        <v>-0.53784403669724756</v>
      </c>
      <c r="T4" s="147">
        <v>-0.4912716615698266</v>
      </c>
      <c r="U4" s="147">
        <v>-0.58135830784913356</v>
      </c>
      <c r="V4" s="147">
        <v>-0.47024719673802229</v>
      </c>
      <c r="W4" s="147">
        <v>-0.36850152905198763</v>
      </c>
      <c r="X4" s="147">
        <v>-0.43361365953109066</v>
      </c>
      <c r="Y4" s="147">
        <v>-0.36015545361875634</v>
      </c>
      <c r="Z4" s="147">
        <v>-0.39965596330275222</v>
      </c>
      <c r="AA4" s="147">
        <v>-0.22241335372069315</v>
      </c>
      <c r="AB4" s="147">
        <v>-0.2382772680937818</v>
      </c>
      <c r="AC4" s="147">
        <v>-0.45291794087665638</v>
      </c>
      <c r="AD4" s="147">
        <v>-0.52395514780835883</v>
      </c>
      <c r="AE4" s="147">
        <v>-0.58741080530071343</v>
      </c>
      <c r="AF4" s="147">
        <v>-0.57581549439347612</v>
      </c>
      <c r="AG4" s="147">
        <v>-0.48318042813455653</v>
      </c>
      <c r="AH4" s="147">
        <v>-0.50949286442405706</v>
      </c>
      <c r="AI4" s="147">
        <v>-0.54466106014271154</v>
      </c>
      <c r="AJ4" s="152">
        <v>-0.52580275229357787</v>
      </c>
    </row>
    <row r="5" spans="2:36" ht="24" customHeight="1">
      <c r="B5" s="51"/>
      <c r="C5" s="50">
        <v>2021</v>
      </c>
      <c r="D5" s="50">
        <v>2022</v>
      </c>
      <c r="E5" s="50">
        <v>2023</v>
      </c>
      <c r="F5" s="50">
        <v>2024</v>
      </c>
      <c r="G5" s="49">
        <v>2025</v>
      </c>
      <c r="J5" s="165" t="s">
        <v>82</v>
      </c>
      <c r="K5" s="192" t="s">
        <v>99</v>
      </c>
      <c r="L5" s="168">
        <v>0</v>
      </c>
      <c r="M5" s="147">
        <v>-6.4026402640264046E-2</v>
      </c>
      <c r="N5" s="147">
        <v>-7.7227722772277185E-2</v>
      </c>
      <c r="O5" s="147">
        <v>0.11881188118811892</v>
      </c>
      <c r="P5" s="147">
        <v>6.1056105610561184E-2</v>
      </c>
      <c r="Q5" s="147">
        <v>-1.848184818481835E-2</v>
      </c>
      <c r="R5" s="147">
        <v>-0.15907590759075896</v>
      </c>
      <c r="S5" s="147">
        <v>-0.30561056105610551</v>
      </c>
      <c r="T5" s="147">
        <v>-0.20132013201320109</v>
      </c>
      <c r="U5" s="147">
        <v>-9.7689768976897406E-2</v>
      </c>
      <c r="V5" s="147">
        <v>-6.0396039603960117E-2</v>
      </c>
      <c r="W5" s="147">
        <v>7.7227722772277518E-2</v>
      </c>
      <c r="X5" s="147">
        <v>-8.2508250825082285E-2</v>
      </c>
      <c r="Y5" s="147">
        <v>-0.18052805280528039</v>
      </c>
      <c r="Z5" s="147">
        <v>-0.15181518151815154</v>
      </c>
      <c r="AA5" s="147">
        <v>-9.6039603960395792E-2</v>
      </c>
      <c r="AB5" s="147">
        <v>-0.14356435643564336</v>
      </c>
      <c r="AC5" s="147">
        <v>-8.0528052805280192E-2</v>
      </c>
      <c r="AD5" s="147">
        <v>-5.77557755775574E-2</v>
      </c>
      <c r="AE5" s="147">
        <v>-2.1782178217821357E-2</v>
      </c>
      <c r="AF5" s="147">
        <v>3.5313531353135641E-2</v>
      </c>
      <c r="AG5" s="147">
        <v>7.5577557755776015E-2</v>
      </c>
      <c r="AH5" s="147">
        <v>-1.2541254125412182E-2</v>
      </c>
      <c r="AI5" s="147">
        <v>-9.9009900990065791E-4</v>
      </c>
      <c r="AJ5" s="152">
        <v>7.9867986798680013E-2</v>
      </c>
    </row>
    <row r="6" spans="2:36" ht="24" customHeight="1">
      <c r="B6" s="47" t="s">
        <v>69</v>
      </c>
      <c r="C6" s="72">
        <v>0.73324213406292749</v>
      </c>
      <c r="D6" s="72">
        <v>0.51651470040937852</v>
      </c>
      <c r="E6" s="72">
        <v>0.43531864744810078</v>
      </c>
      <c r="F6" s="72">
        <v>0.37003498662276191</v>
      </c>
      <c r="G6" s="73">
        <v>0.32300342969132778</v>
      </c>
      <c r="H6" s="1"/>
      <c r="J6" s="164" t="s">
        <v>82</v>
      </c>
      <c r="K6" s="191" t="s">
        <v>101</v>
      </c>
      <c r="L6" s="167">
        <v>0</v>
      </c>
      <c r="M6" s="147">
        <v>0.12969628796400445</v>
      </c>
      <c r="N6" s="147">
        <v>5.9955005624297009E-2</v>
      </c>
      <c r="O6" s="147">
        <v>0.37289088863891995</v>
      </c>
      <c r="P6" s="147">
        <v>0.34488188976377954</v>
      </c>
      <c r="Q6" s="147">
        <v>-3.4083239595050552E-2</v>
      </c>
      <c r="R6" s="147">
        <v>-0.15950506186726654</v>
      </c>
      <c r="S6" s="147">
        <v>-0.27154105736782885</v>
      </c>
      <c r="T6" s="147">
        <v>-0.25106861642294709</v>
      </c>
      <c r="U6" s="147">
        <v>-8.7514060742406974E-2</v>
      </c>
      <c r="V6" s="147">
        <v>-0.13397075365579292</v>
      </c>
      <c r="W6" s="147">
        <v>-0.1960629921259841</v>
      </c>
      <c r="X6" s="147">
        <v>-0.1627671541057365</v>
      </c>
      <c r="Y6" s="147">
        <v>-0.39268841394825627</v>
      </c>
      <c r="Z6" s="147">
        <v>-0.40787401574803139</v>
      </c>
      <c r="AA6" s="147">
        <v>-0.43498312710911136</v>
      </c>
      <c r="AB6" s="147">
        <v>-0.36929133858267715</v>
      </c>
      <c r="AC6" s="147">
        <v>-0.52665916760404952</v>
      </c>
      <c r="AD6" s="147">
        <v>-0.38065241844769404</v>
      </c>
      <c r="AE6" s="147">
        <v>-0.26872890888638923</v>
      </c>
      <c r="AF6" s="147">
        <v>-7.9415073115860602E-2</v>
      </c>
      <c r="AG6" s="147">
        <v>5.8717660292463503E-2</v>
      </c>
      <c r="AH6" s="147">
        <v>0.152193475815523</v>
      </c>
      <c r="AI6" s="147">
        <v>-0.17322834645669305</v>
      </c>
      <c r="AJ6" s="152">
        <v>-0.41901012373453328</v>
      </c>
    </row>
    <row r="7" spans="2:36" ht="24" customHeight="1">
      <c r="B7" s="47" t="s">
        <v>70</v>
      </c>
      <c r="C7" s="72">
        <v>1.8399170667830642</v>
      </c>
      <c r="D7" s="72">
        <v>1.2846405858546925</v>
      </c>
      <c r="E7" s="72">
        <v>1.0303524804177546</v>
      </c>
      <c r="F7" s="72">
        <v>0.80115672857608344</v>
      </c>
      <c r="G7" s="73">
        <v>0.40106217379360865</v>
      </c>
      <c r="H7" s="1"/>
      <c r="J7" s="165" t="s">
        <v>83</v>
      </c>
      <c r="K7" s="192" t="s">
        <v>99</v>
      </c>
      <c r="L7" s="168">
        <v>0</v>
      </c>
      <c r="M7" s="147">
        <v>-0.10683453237410079</v>
      </c>
      <c r="N7" s="147">
        <v>-7.5539568345323715E-2</v>
      </c>
      <c r="O7" s="147">
        <v>-1.4748201438848918E-2</v>
      </c>
      <c r="P7" s="147">
        <v>-6.6546762589928088E-2</v>
      </c>
      <c r="Q7" s="147">
        <v>2.1582733812950394E-3</v>
      </c>
      <c r="R7" s="147">
        <v>2.6978417266187105E-2</v>
      </c>
      <c r="S7" s="147">
        <v>6.6187050359712396E-2</v>
      </c>
      <c r="T7" s="147">
        <v>0.12841726618705041</v>
      </c>
      <c r="U7" s="147">
        <v>0.17230215827338147</v>
      </c>
      <c r="V7" s="147">
        <v>7.6258992805755543E-2</v>
      </c>
      <c r="W7" s="147">
        <v>8.8848920863309422E-2</v>
      </c>
      <c r="X7" s="147">
        <v>0.17697841726618702</v>
      </c>
      <c r="Y7" s="147">
        <v>-1.4028776978417201E-2</v>
      </c>
      <c r="Z7" s="147">
        <v>0.17697841726618702</v>
      </c>
      <c r="AA7" s="147">
        <v>0.14388489208633093</v>
      </c>
      <c r="AB7" s="147">
        <v>9.676258992805753E-2</v>
      </c>
      <c r="AC7" s="147">
        <v>0.16654676258992795</v>
      </c>
      <c r="AD7" s="147">
        <v>0.13165467625899274</v>
      </c>
      <c r="AE7" s="147">
        <v>8.0575539568345178E-2</v>
      </c>
      <c r="AF7" s="147">
        <v>0.24136690647481984</v>
      </c>
      <c r="AG7" s="147">
        <v>0.47374100719424428</v>
      </c>
      <c r="AH7" s="147">
        <v>0.70215827338129477</v>
      </c>
      <c r="AI7" s="147">
        <v>0.76438848920863278</v>
      </c>
      <c r="AJ7" s="152">
        <v>0.34568345323740979</v>
      </c>
    </row>
    <row r="8" spans="2:36" ht="24" customHeight="1">
      <c r="B8" s="47" t="s">
        <v>71</v>
      </c>
      <c r="C8" s="74">
        <v>0.73001508295625939</v>
      </c>
      <c r="D8" s="74">
        <v>0.54726688102893895</v>
      </c>
      <c r="E8" s="74">
        <v>0.42340168878166468</v>
      </c>
      <c r="F8" s="74">
        <v>0.43898488120950324</v>
      </c>
      <c r="G8" s="75">
        <v>0.3594864479315264</v>
      </c>
      <c r="J8" s="164" t="s">
        <v>83</v>
      </c>
      <c r="K8" s="191" t="s">
        <v>96</v>
      </c>
      <c r="L8" s="167">
        <v>0</v>
      </c>
      <c r="M8" s="147">
        <v>7.4770258980785265E-2</v>
      </c>
      <c r="N8" s="147">
        <v>0.10672514619883056</v>
      </c>
      <c r="O8" s="147">
        <v>1.6290726817042689E-2</v>
      </c>
      <c r="P8" s="147">
        <v>-5.1378446115288079E-2</v>
      </c>
      <c r="Q8" s="147">
        <v>-8.0200501253132717E-2</v>
      </c>
      <c r="R8" s="147">
        <v>0.19172932330827086</v>
      </c>
      <c r="S8" s="147">
        <v>0.63450292397660846</v>
      </c>
      <c r="T8" s="147">
        <v>1.0223475355054301</v>
      </c>
      <c r="U8" s="147">
        <v>1.0279866332497911</v>
      </c>
      <c r="V8" s="147">
        <v>1.2105263157894739</v>
      </c>
      <c r="W8" s="147">
        <v>0.95927318295739372</v>
      </c>
      <c r="X8" s="147">
        <v>0.44214703425229751</v>
      </c>
      <c r="Y8" s="147">
        <v>0.43734335839599003</v>
      </c>
      <c r="Z8" s="147">
        <v>0.65914786967418548</v>
      </c>
      <c r="AA8" s="147">
        <v>0.66311612364243966</v>
      </c>
      <c r="AB8" s="147">
        <v>0.84440267335004227</v>
      </c>
      <c r="AC8" s="147">
        <v>1.1929824561403515</v>
      </c>
      <c r="AD8" s="147">
        <v>1.0154553049289894</v>
      </c>
      <c r="AE8" s="147">
        <v>0.96407685881370142</v>
      </c>
      <c r="AF8" s="147">
        <v>1.1294903926482878</v>
      </c>
      <c r="AG8" s="147">
        <v>1.3354218880534678</v>
      </c>
      <c r="AH8" s="147">
        <v>1.1370091896407692</v>
      </c>
      <c r="AI8" s="147">
        <v>1.2201336675020893</v>
      </c>
      <c r="AJ8" s="152">
        <v>0.92293233082706805</v>
      </c>
    </row>
    <row r="9" spans="2:36" ht="24" customHeight="1">
      <c r="B9" s="47" t="s">
        <v>72</v>
      </c>
      <c r="C9" s="74">
        <v>1.8784773280848208</v>
      </c>
      <c r="D9" s="74">
        <v>1.2205014537306673</v>
      </c>
      <c r="E9" s="74">
        <v>0.73035625464506926</v>
      </c>
      <c r="F9" s="74">
        <v>0.68226888282798548</v>
      </c>
      <c r="G9" s="75">
        <v>0.84712537139333621</v>
      </c>
      <c r="J9" s="165" t="s">
        <v>84</v>
      </c>
      <c r="K9" s="192" t="s">
        <v>97</v>
      </c>
      <c r="L9" s="166">
        <v>0</v>
      </c>
      <c r="M9" s="147">
        <v>-9.5435684647302899E-2</v>
      </c>
      <c r="N9" s="147">
        <v>4.7717842323651283E-2</v>
      </c>
      <c r="O9" s="147">
        <v>-0.12240663900414939</v>
      </c>
      <c r="P9" s="147">
        <v>-7.8838174273858974E-2</v>
      </c>
      <c r="Q9" s="147">
        <v>0.10995850622406622</v>
      </c>
      <c r="R9" s="147">
        <v>2.0746887966804906E-2</v>
      </c>
      <c r="S9" s="147">
        <v>-0.12863070539419086</v>
      </c>
      <c r="T9" s="147">
        <v>-5.1867219917012375E-2</v>
      </c>
      <c r="U9" s="147">
        <v>-5.6016597510373467E-2</v>
      </c>
      <c r="V9" s="147">
        <v>1.0373443983402453E-2</v>
      </c>
      <c r="W9" s="147">
        <v>0.14937759336099576</v>
      </c>
      <c r="X9" s="147">
        <v>-8.2987551867219955E-2</v>
      </c>
      <c r="Y9" s="147">
        <v>-3.319502074688796E-2</v>
      </c>
      <c r="Z9" s="147">
        <v>0.13278008298755184</v>
      </c>
      <c r="AJ9" s="41"/>
    </row>
    <row r="10" spans="2:36" ht="24" customHeight="1" thickBot="1">
      <c r="B10" s="63" t="s">
        <v>75</v>
      </c>
      <c r="C10" s="76">
        <v>0.89230318993268953</v>
      </c>
      <c r="D10" s="77">
        <v>0.45597652081109924</v>
      </c>
      <c r="E10" s="77">
        <v>0.52453142227122385</v>
      </c>
      <c r="F10" s="77">
        <v>1.0198402473589281</v>
      </c>
      <c r="G10" s="78">
        <v>0.5749659245797365</v>
      </c>
      <c r="J10" s="163" t="s">
        <v>84</v>
      </c>
      <c r="K10" s="190" t="s">
        <v>96</v>
      </c>
      <c r="L10" s="166">
        <v>0</v>
      </c>
      <c r="M10" s="147">
        <v>-3.3309196234613259E-3</v>
      </c>
      <c r="N10" s="147">
        <v>0.15047067342505427</v>
      </c>
      <c r="O10" s="147">
        <v>0.1532223026792181</v>
      </c>
      <c r="P10" s="147">
        <v>0.27892831281679986</v>
      </c>
      <c r="Q10" s="147">
        <v>0.52063721940622787</v>
      </c>
      <c r="R10" s="147">
        <v>0.39753801593048554</v>
      </c>
      <c r="S10" s="147">
        <v>0.36191165821868254</v>
      </c>
      <c r="T10" s="147">
        <v>0.47661115133960918</v>
      </c>
      <c r="U10" s="147">
        <v>0.61940622737147022</v>
      </c>
      <c r="V10" s="147">
        <v>0.48182476466328783</v>
      </c>
      <c r="W10" s="147">
        <v>0.53946415640839995</v>
      </c>
      <c r="X10" s="147">
        <v>0.33338160753077495</v>
      </c>
      <c r="Y10" s="147">
        <v>0.30340333091962357</v>
      </c>
      <c r="Z10" s="147">
        <v>0.63099203475742249</v>
      </c>
      <c r="AA10" s="153"/>
      <c r="AB10" s="153"/>
      <c r="AC10" s="153"/>
      <c r="AD10" s="153"/>
      <c r="AE10" s="153"/>
      <c r="AF10" s="153"/>
      <c r="AG10" s="153"/>
      <c r="AH10" s="153"/>
      <c r="AI10" s="153"/>
      <c r="AJ10" s="154"/>
    </row>
    <row r="11" spans="2:36" ht="24" customHeight="1" thickBot="1">
      <c r="B11" s="47" t="s">
        <v>76</v>
      </c>
      <c r="C11" s="79">
        <v>0.91756452017038337</v>
      </c>
      <c r="D11" s="79">
        <v>0.60382817716447812</v>
      </c>
      <c r="E11" s="72">
        <v>0.48755326306346713</v>
      </c>
      <c r="F11" s="72">
        <v>0.49357200976403581</v>
      </c>
      <c r="G11" s="73">
        <v>0.40795264835331613</v>
      </c>
      <c r="J11" s="216" t="s">
        <v>58</v>
      </c>
      <c r="K11" s="253"/>
      <c r="L11" s="169">
        <v>0</v>
      </c>
      <c r="M11" s="39">
        <f t="shared" ref="M11:AJ11" si="0">AVERAGE(M3:M10)</f>
        <v>-1.1183813057945358E-2</v>
      </c>
      <c r="N11" s="39">
        <f t="shared" si="0"/>
        <v>1.6697244136642891E-2</v>
      </c>
      <c r="O11" s="39">
        <f t="shared" si="0"/>
        <v>1.1341756845497514E-3</v>
      </c>
      <c r="P11" s="39">
        <f t="shared" si="0"/>
        <v>3.7938305308813924E-3</v>
      </c>
      <c r="Q11" s="39">
        <f t="shared" si="0"/>
        <v>-1.3057992549222908E-2</v>
      </c>
      <c r="R11" s="39">
        <f t="shared" si="0"/>
        <v>-6.9853766217613661E-2</v>
      </c>
      <c r="S11" s="39">
        <f t="shared" si="0"/>
        <v>-4.8435302873434116E-2</v>
      </c>
      <c r="T11" s="39">
        <f t="shared" si="0"/>
        <v>6.2895723395943973E-2</v>
      </c>
      <c r="U11" s="39">
        <f t="shared" si="0"/>
        <v>9.1526172290554236E-2</v>
      </c>
      <c r="V11" s="39">
        <f t="shared" si="0"/>
        <v>0.11192758378791259</v>
      </c>
      <c r="W11" s="39">
        <f t="shared" si="0"/>
        <v>0.12332570101188514</v>
      </c>
      <c r="X11" s="39">
        <f t="shared" si="0"/>
        <v>-1.190652343679259E-2</v>
      </c>
      <c r="Y11" s="39">
        <f t="shared" si="0"/>
        <v>-7.1431753155843727E-2</v>
      </c>
      <c r="Z11" s="39">
        <f t="shared" si="0"/>
        <v>3.7440119455159543E-2</v>
      </c>
      <c r="AA11" s="39">
        <f t="shared" si="0"/>
        <v>-2.4578678530428371E-2</v>
      </c>
      <c r="AB11" s="39">
        <f t="shared" si="0"/>
        <v>-8.7081840834186495E-3</v>
      </c>
      <c r="AC11" s="39">
        <f t="shared" si="0"/>
        <v>5.7203069217415248E-5</v>
      </c>
      <c r="AD11" s="39">
        <f t="shared" si="0"/>
        <v>-3.578914326417626E-2</v>
      </c>
      <c r="AE11" s="39">
        <f t="shared" si="0"/>
        <v>-5.6232322379569023E-2</v>
      </c>
      <c r="AF11" s="39">
        <f t="shared" si="0"/>
        <v>5.3548571599048835E-2</v>
      </c>
      <c r="AG11" s="39">
        <f t="shared" si="0"/>
        <v>0.18410551567836442</v>
      </c>
      <c r="AH11" s="39">
        <f t="shared" si="0"/>
        <v>0.19005238818770073</v>
      </c>
      <c r="AI11" s="39">
        <f t="shared" si="0"/>
        <v>0.17248494652460181</v>
      </c>
      <c r="AJ11" s="38">
        <f t="shared" si="0"/>
        <v>9.8112815926272301E-3</v>
      </c>
    </row>
    <row r="12" spans="2:36" ht="24" customHeight="1">
      <c r="B12" s="64" t="s">
        <v>74</v>
      </c>
      <c r="C12" s="80">
        <v>1.1391499125874125</v>
      </c>
      <c r="D12" s="80">
        <v>0.85344322839255959</v>
      </c>
      <c r="E12" s="80">
        <v>0.84663865546218486</v>
      </c>
      <c r="F12" s="80">
        <v>0.80994252380543874</v>
      </c>
      <c r="G12" s="81">
        <v>0.58489266444725063</v>
      </c>
    </row>
    <row r="13" spans="2:36" ht="24" customHeight="1" thickBot="1">
      <c r="B13" s="65" t="s">
        <v>73</v>
      </c>
      <c r="C13" s="82">
        <v>0.72717733473242396</v>
      </c>
      <c r="D13" s="82">
        <v>0.44668465690053971</v>
      </c>
      <c r="E13" s="82">
        <v>0.33897342720872131</v>
      </c>
      <c r="F13" s="82">
        <v>0.31556055493063367</v>
      </c>
      <c r="G13" s="83">
        <v>0.33908919779901536</v>
      </c>
    </row>
    <row r="14" spans="2:36" ht="24" customHeight="1" thickBot="1"/>
    <row r="15" spans="2:36" ht="24" customHeight="1" thickBot="1">
      <c r="B15" s="51"/>
      <c r="C15" s="50">
        <v>2021</v>
      </c>
      <c r="D15" s="50">
        <v>2022</v>
      </c>
      <c r="E15" s="50">
        <v>2023</v>
      </c>
      <c r="F15" s="50">
        <v>2024</v>
      </c>
      <c r="G15" s="49">
        <v>2025</v>
      </c>
      <c r="J15" s="228" t="s">
        <v>59</v>
      </c>
      <c r="K15" s="254"/>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6</v>
      </c>
      <c r="D16" s="84">
        <v>6</v>
      </c>
      <c r="E16" s="84">
        <v>6</v>
      </c>
      <c r="F16" s="84">
        <v>7</v>
      </c>
      <c r="G16" s="85">
        <v>8</v>
      </c>
      <c r="J16" s="48" t="s">
        <v>81</v>
      </c>
      <c r="K16" s="199" t="s">
        <v>98</v>
      </c>
      <c r="L16" s="42">
        <v>0</v>
      </c>
      <c r="M16" s="147">
        <v>-6.3548102383053862E-2</v>
      </c>
      <c r="N16" s="147">
        <v>-5.1191526919682206E-2</v>
      </c>
      <c r="O16" s="147">
        <v>-0.17299205648720217</v>
      </c>
      <c r="P16" s="147">
        <v>0.27802294792586069</v>
      </c>
      <c r="Q16" s="147">
        <v>0.13857016769638153</v>
      </c>
      <c r="R16" s="147">
        <v>-0.14386584289496906</v>
      </c>
      <c r="S16" s="147">
        <v>0.15710503089143879</v>
      </c>
      <c r="T16" s="147">
        <v>0.15092674315975296</v>
      </c>
      <c r="U16" s="147">
        <v>-9.3556928508384707E-2</v>
      </c>
      <c r="V16" s="147">
        <v>0.1103265666372466</v>
      </c>
      <c r="W16" s="147">
        <v>3.7952338923213036E-2</v>
      </c>
      <c r="X16" s="147">
        <v>-0.13150926743159719</v>
      </c>
      <c r="Y16" s="147">
        <v>-0.1624007060900261</v>
      </c>
      <c r="Z16" s="147">
        <v>-0.27360988526037033</v>
      </c>
      <c r="AA16" s="147">
        <v>-0.14651368049426261</v>
      </c>
      <c r="AB16" s="147">
        <v>-0.17917034421888745</v>
      </c>
      <c r="AC16" s="147">
        <v>-0.44571932921447455</v>
      </c>
      <c r="AD16" s="147">
        <v>-0.57281553398058227</v>
      </c>
      <c r="AE16" s="147">
        <v>-0.70079435127978806</v>
      </c>
      <c r="AF16" s="147">
        <v>-0.6548984995586935</v>
      </c>
      <c r="AG16" s="147">
        <v>-0.51809355692850811</v>
      </c>
      <c r="AH16" s="147">
        <v>-0.57016769638128828</v>
      </c>
      <c r="AI16" s="147">
        <v>-0.38746690203000833</v>
      </c>
      <c r="AJ16" s="152">
        <v>-0.28420123565754574</v>
      </c>
    </row>
    <row r="17" spans="2:36" ht="24" customHeight="1">
      <c r="B17" s="47" t="s">
        <v>70</v>
      </c>
      <c r="C17" s="84">
        <v>2</v>
      </c>
      <c r="D17" s="84">
        <v>1</v>
      </c>
      <c r="E17" s="84">
        <v>1</v>
      </c>
      <c r="F17" s="84">
        <v>3</v>
      </c>
      <c r="G17" s="85">
        <v>5</v>
      </c>
      <c r="J17" s="43" t="s">
        <v>81</v>
      </c>
      <c r="K17" s="198" t="s">
        <v>102</v>
      </c>
      <c r="L17" s="45">
        <v>0</v>
      </c>
      <c r="M17" s="147">
        <v>8.7490206320188113E-2</v>
      </c>
      <c r="N17" s="147">
        <v>5.3538782972055499E-2</v>
      </c>
      <c r="O17" s="147">
        <v>-0.26795507965526244</v>
      </c>
      <c r="P17" s="147">
        <v>-0.19639592582919829</v>
      </c>
      <c r="Q17" s="147">
        <v>-0.2149386262731785</v>
      </c>
      <c r="R17" s="147">
        <v>-0.29093758161399852</v>
      </c>
      <c r="S17" s="147">
        <v>-0.14259597806215729</v>
      </c>
      <c r="T17" s="147">
        <v>-0.10603290676416832</v>
      </c>
      <c r="U17" s="147">
        <v>-0.16949595194567779</v>
      </c>
      <c r="V17" s="147">
        <v>-1.2013580569339322E-2</v>
      </c>
      <c r="W17" s="147">
        <v>-3.1078610603290646E-2</v>
      </c>
      <c r="X17" s="147">
        <v>-0.1175241577435362</v>
      </c>
      <c r="Y17" s="147">
        <v>-0.1329328806476886</v>
      </c>
      <c r="Z17" s="147">
        <v>-8.2005745625489679E-2</v>
      </c>
      <c r="AA17" s="147">
        <v>0.2013580569339255</v>
      </c>
      <c r="AB17" s="147">
        <v>0.16897362235570657</v>
      </c>
      <c r="AC17" s="147">
        <v>8.5923217550274211E-2</v>
      </c>
      <c r="AD17" s="147">
        <v>-6.2940715591538243E-2</v>
      </c>
      <c r="AE17" s="147">
        <v>-0.20867067119352312</v>
      </c>
      <c r="AF17" s="147">
        <v>-6.2157221206581403E-2</v>
      </c>
      <c r="AG17" s="147">
        <v>2.1676677983807568E-2</v>
      </c>
      <c r="AH17" s="147">
        <v>-6.0067902846696608E-3</v>
      </c>
      <c r="AI17" s="147">
        <v>7.3387307390963663E-2</v>
      </c>
      <c r="AJ17" s="152">
        <v>0.21859493340297709</v>
      </c>
    </row>
    <row r="18" spans="2:36" ht="24" customHeight="1">
      <c r="B18" s="47" t="s">
        <v>71</v>
      </c>
      <c r="C18" s="86">
        <v>7</v>
      </c>
      <c r="D18" s="86">
        <v>5</v>
      </c>
      <c r="E18" s="86">
        <v>7</v>
      </c>
      <c r="F18" s="86">
        <v>6</v>
      </c>
      <c r="G18" s="87">
        <v>6</v>
      </c>
      <c r="J18" s="44" t="s">
        <v>82</v>
      </c>
      <c r="K18" s="197" t="s">
        <v>97</v>
      </c>
      <c r="L18" s="46">
        <v>0</v>
      </c>
      <c r="M18" s="147">
        <v>-1.9230769230769273E-2</v>
      </c>
      <c r="N18" s="147">
        <v>-6.1813186813186816E-2</v>
      </c>
      <c r="O18" s="147">
        <v>0.21703296703296693</v>
      </c>
      <c r="P18" s="147">
        <v>6.7307692307692291E-2</v>
      </c>
      <c r="Q18" s="147">
        <v>-0.1868131868131867</v>
      </c>
      <c r="R18" s="147">
        <v>-0.36813186813186805</v>
      </c>
      <c r="S18" s="147">
        <v>-0.48351648351648346</v>
      </c>
      <c r="T18" s="147">
        <v>-0.39285714285714279</v>
      </c>
      <c r="U18" s="147">
        <v>-0.23763736263736257</v>
      </c>
      <c r="V18" s="147">
        <v>-0.27060439560439553</v>
      </c>
      <c r="W18" s="147">
        <v>-0.10989010989010972</v>
      </c>
      <c r="X18" s="147">
        <v>1.9230769230769384E-2</v>
      </c>
      <c r="Y18" s="147">
        <v>-0.21978021978021967</v>
      </c>
      <c r="Z18" s="147">
        <v>-0.23214285714285698</v>
      </c>
      <c r="AA18" s="147">
        <v>-0.16346153846153832</v>
      </c>
      <c r="AB18" s="147">
        <v>-0.11950549450549419</v>
      </c>
      <c r="AC18" s="147">
        <v>-0.30219780219780201</v>
      </c>
      <c r="AD18" s="147">
        <v>-9.8901098901098661E-2</v>
      </c>
      <c r="AE18" s="147">
        <v>-0.21703296703296671</v>
      </c>
      <c r="AF18" s="147">
        <v>-0.17994505494505464</v>
      </c>
      <c r="AG18" s="147">
        <v>7.9670329670330275E-2</v>
      </c>
      <c r="AH18" s="147">
        <v>-9.6153846153845701E-2</v>
      </c>
      <c r="AI18" s="147">
        <v>-0.10439560439560402</v>
      </c>
      <c r="AJ18" s="152">
        <v>-0.3379120879120876</v>
      </c>
    </row>
    <row r="19" spans="2:36" ht="24" customHeight="1">
      <c r="B19" s="47" t="s">
        <v>72</v>
      </c>
      <c r="C19" s="86">
        <v>1</v>
      </c>
      <c r="D19" s="86">
        <v>2</v>
      </c>
      <c r="E19" s="86">
        <v>3</v>
      </c>
      <c r="F19" s="86">
        <v>4</v>
      </c>
      <c r="G19" s="87">
        <v>1</v>
      </c>
      <c r="J19" s="43" t="s">
        <v>82</v>
      </c>
      <c r="K19" s="197" t="s">
        <v>73</v>
      </c>
      <c r="L19" s="45">
        <v>0</v>
      </c>
      <c r="M19" s="147">
        <v>-1.7460787215152318E-2</v>
      </c>
      <c r="N19" s="147">
        <v>4.0248594258656345E-2</v>
      </c>
      <c r="O19" s="147">
        <v>0.36134951168984908</v>
      </c>
      <c r="P19" s="147">
        <v>0.32465226398342706</v>
      </c>
      <c r="Q19" s="147">
        <v>0.23054158034921568</v>
      </c>
      <c r="R19" s="147">
        <v>6.1852619118082375E-2</v>
      </c>
      <c r="S19" s="147">
        <v>-0.10328499556081672</v>
      </c>
      <c r="T19" s="147">
        <v>6.2740455756140845E-2</v>
      </c>
      <c r="U19" s="147">
        <v>0.15773897602841069</v>
      </c>
      <c r="V19" s="147">
        <v>0.12636874815034038</v>
      </c>
      <c r="W19" s="147">
        <v>0.21633619414027816</v>
      </c>
      <c r="X19" s="147">
        <v>0.38088191772713809</v>
      </c>
      <c r="Y19" s="147">
        <v>0.44421426457531821</v>
      </c>
      <c r="Z19" s="147">
        <v>0.47173720035513478</v>
      </c>
      <c r="AA19" s="147">
        <v>0.3711157147084938</v>
      </c>
      <c r="AB19" s="147">
        <v>0.24326723882805568</v>
      </c>
      <c r="AC19" s="147">
        <v>0.23231725362533306</v>
      </c>
      <c r="AD19" s="147">
        <v>0.47292098253921311</v>
      </c>
      <c r="AE19" s="147">
        <v>0.65936667653151848</v>
      </c>
      <c r="AF19" s="147">
        <v>0.85646641018052705</v>
      </c>
      <c r="AG19" s="147">
        <v>0.75969221663214026</v>
      </c>
      <c r="AH19" s="147">
        <v>0.95679195028114905</v>
      </c>
      <c r="AI19" s="147">
        <v>0.74874223142941765</v>
      </c>
      <c r="AJ19" s="152">
        <v>0.27138206569991175</v>
      </c>
    </row>
    <row r="20" spans="2:36" ht="24" customHeight="1">
      <c r="B20" s="63" t="s">
        <v>75</v>
      </c>
      <c r="C20" s="88">
        <v>5</v>
      </c>
      <c r="D20" s="89">
        <v>7</v>
      </c>
      <c r="E20" s="89">
        <v>4</v>
      </c>
      <c r="F20" s="89">
        <v>1</v>
      </c>
      <c r="G20" s="90">
        <v>3</v>
      </c>
      <c r="J20" s="165" t="s">
        <v>83</v>
      </c>
      <c r="K20" s="199" t="s">
        <v>98</v>
      </c>
      <c r="L20" s="168">
        <v>0</v>
      </c>
      <c r="M20" s="147">
        <v>-0.25524044389642409</v>
      </c>
      <c r="N20" s="147">
        <v>-0.32552404438964244</v>
      </c>
      <c r="O20" s="147">
        <v>-0.39210850801479658</v>
      </c>
      <c r="P20" s="147">
        <v>-0.51405672009864367</v>
      </c>
      <c r="Q20" s="147">
        <v>-0.55240443896424174</v>
      </c>
      <c r="R20" s="147">
        <v>-0.34032059186189889</v>
      </c>
      <c r="S20" s="147">
        <v>-0.25030826140567197</v>
      </c>
      <c r="T20" s="147">
        <v>-0.28113440197287287</v>
      </c>
      <c r="U20" s="147">
        <v>-0.12330456226880371</v>
      </c>
      <c r="V20" s="147">
        <v>3.9457459926017568E-2</v>
      </c>
      <c r="W20" s="147">
        <v>-0.11220715166461126</v>
      </c>
      <c r="X20" s="147">
        <v>-0.46485819975339071</v>
      </c>
      <c r="Y20" s="147">
        <v>-0.6325524044389641</v>
      </c>
      <c r="Z20" s="147">
        <v>-0.50431565967940795</v>
      </c>
      <c r="AA20" s="147">
        <v>-0.55610357583230563</v>
      </c>
      <c r="AB20" s="147">
        <v>-0.45992601726263849</v>
      </c>
      <c r="AC20" s="147">
        <v>-0.39580764488286035</v>
      </c>
      <c r="AD20" s="147">
        <v>-0.45561035758323032</v>
      </c>
      <c r="AE20" s="147">
        <v>-0.52404438964241651</v>
      </c>
      <c r="AF20" s="147">
        <v>-0.43773119605425381</v>
      </c>
      <c r="AG20" s="147">
        <v>-0.41923551171393314</v>
      </c>
      <c r="AH20" s="147">
        <v>-0.42786683107274948</v>
      </c>
      <c r="AI20" s="147">
        <v>-0.45252774352651015</v>
      </c>
      <c r="AJ20" s="152">
        <v>-0.56473489519112186</v>
      </c>
    </row>
    <row r="21" spans="2:36" ht="24" customHeight="1">
      <c r="B21" s="47" t="s">
        <v>76</v>
      </c>
      <c r="C21" s="91">
        <v>4</v>
      </c>
      <c r="D21" s="91">
        <v>4</v>
      </c>
      <c r="E21" s="84">
        <v>5</v>
      </c>
      <c r="F21" s="84">
        <v>5</v>
      </c>
      <c r="G21" s="85">
        <v>4</v>
      </c>
      <c r="J21" s="164" t="s">
        <v>83</v>
      </c>
      <c r="K21" s="198" t="s">
        <v>73</v>
      </c>
      <c r="L21" s="167">
        <v>0</v>
      </c>
      <c r="M21" s="147">
        <v>4.5863694813544909E-2</v>
      </c>
      <c r="N21" s="147">
        <v>6.5795113587655552E-2</v>
      </c>
      <c r="O21" s="147">
        <v>-7.0724389198455473E-3</v>
      </c>
      <c r="P21" s="147">
        <v>-9.9657093870552882E-2</v>
      </c>
      <c r="Q21" s="147">
        <v>-0.10758679811401617</v>
      </c>
      <c r="R21" s="147">
        <v>6.6652378911273402E-2</v>
      </c>
      <c r="S21" s="147">
        <v>0.2016716673810548</v>
      </c>
      <c r="T21" s="147">
        <v>0.34440634376339507</v>
      </c>
      <c r="U21" s="147">
        <v>0.2743249035576516</v>
      </c>
      <c r="V21" s="147">
        <v>0.4170595799399921</v>
      </c>
      <c r="W21" s="147">
        <v>0.26639519931418842</v>
      </c>
      <c r="X21" s="147">
        <v>-7.9297042434632981E-2</v>
      </c>
      <c r="Y21" s="147">
        <v>-0.12087441063008952</v>
      </c>
      <c r="Z21" s="147">
        <v>2.1860265752250863E-2</v>
      </c>
      <c r="AA21" s="147">
        <v>4.1577368195456987E-2</v>
      </c>
      <c r="AB21" s="147">
        <v>0.12687526789541415</v>
      </c>
      <c r="AC21" s="147">
        <v>0.31290184312044644</v>
      </c>
      <c r="AD21" s="147">
        <v>0.20595799399914339</v>
      </c>
      <c r="AE21" s="147">
        <v>0.21945992284612137</v>
      </c>
      <c r="AF21" s="147">
        <v>0.36648092584655001</v>
      </c>
      <c r="AG21" s="147">
        <v>0.47942563223317691</v>
      </c>
      <c r="AH21" s="147">
        <v>0.40462923274753626</v>
      </c>
      <c r="AI21" s="147">
        <v>0.40055722246035197</v>
      </c>
      <c r="AJ21" s="152">
        <v>0.42091727389627143</v>
      </c>
    </row>
    <row r="22" spans="2:36" ht="24" customHeight="1">
      <c r="B22" s="64" t="s">
        <v>74</v>
      </c>
      <c r="C22" s="92">
        <v>3</v>
      </c>
      <c r="D22" s="92">
        <v>3</v>
      </c>
      <c r="E22" s="92">
        <v>2</v>
      </c>
      <c r="F22" s="92">
        <v>2</v>
      </c>
      <c r="G22" s="93">
        <v>2</v>
      </c>
      <c r="J22" s="44" t="s">
        <v>84</v>
      </c>
      <c r="K22" s="197" t="s">
        <v>104</v>
      </c>
      <c r="L22" s="42">
        <v>0</v>
      </c>
      <c r="M22" s="147">
        <v>-5.6872037914692086E-2</v>
      </c>
      <c r="N22" s="147">
        <v>8.1516587677725072E-2</v>
      </c>
      <c r="O22" s="147">
        <v>6.3507109004739437E-2</v>
      </c>
      <c r="P22" s="147">
        <v>8.9099526066350743E-2</v>
      </c>
      <c r="Q22" s="147">
        <v>0.26729857819905201</v>
      </c>
      <c r="R22" s="147">
        <v>6.5402843601895633E-2</v>
      </c>
      <c r="S22" s="147">
        <v>0.24454976303317544</v>
      </c>
      <c r="T22" s="147">
        <v>0.33175355450236976</v>
      </c>
      <c r="U22" s="147">
        <v>0.45308056872037894</v>
      </c>
      <c r="V22" s="147">
        <v>0.26066350710900466</v>
      </c>
      <c r="W22" s="147">
        <v>0.23886255924170596</v>
      </c>
      <c r="X22" s="147">
        <v>1.8009478672985635E-2</v>
      </c>
      <c r="Y22" s="147">
        <v>0.10995260663507089</v>
      </c>
      <c r="Z22" s="147">
        <v>0.38767772511848309</v>
      </c>
      <c r="AJ22" s="41"/>
    </row>
    <row r="23" spans="2:36" ht="24" customHeight="1" thickBot="1">
      <c r="B23" s="65" t="s">
        <v>73</v>
      </c>
      <c r="C23" s="94">
        <v>8</v>
      </c>
      <c r="D23" s="94">
        <v>8</v>
      </c>
      <c r="E23" s="94">
        <v>8</v>
      </c>
      <c r="F23" s="94">
        <v>8</v>
      </c>
      <c r="G23" s="95">
        <v>7</v>
      </c>
      <c r="J23" s="43" t="s">
        <v>84</v>
      </c>
      <c r="K23" s="197" t="s">
        <v>73</v>
      </c>
      <c r="L23" s="42">
        <v>0</v>
      </c>
      <c r="M23" s="147">
        <v>-4.5158286778398504E-2</v>
      </c>
      <c r="N23" s="147">
        <v>0.10986964618249528</v>
      </c>
      <c r="O23" s="147">
        <v>0.13128491620111715</v>
      </c>
      <c r="P23" s="147">
        <v>0.22392923649906882</v>
      </c>
      <c r="Q23" s="147">
        <v>0.42597765363128492</v>
      </c>
      <c r="R23" s="147">
        <v>0.30982309124767227</v>
      </c>
      <c r="S23" s="147">
        <v>0.32448789571694592</v>
      </c>
      <c r="T23" s="147">
        <v>0.48417132216014891</v>
      </c>
      <c r="U23" s="147">
        <v>0.60684357541899447</v>
      </c>
      <c r="V23" s="147">
        <v>0.52560521415270034</v>
      </c>
      <c r="W23" s="147">
        <v>0.52118249534450634</v>
      </c>
      <c r="X23" s="147">
        <v>0.54329608938547458</v>
      </c>
      <c r="Y23" s="147">
        <v>0.57844506517690863</v>
      </c>
      <c r="Z23" s="147">
        <v>0.89897579143389184</v>
      </c>
      <c r="AA23" s="153"/>
      <c r="AB23" s="153"/>
      <c r="AC23" s="153"/>
      <c r="AD23" s="153"/>
      <c r="AE23" s="153"/>
      <c r="AF23" s="153"/>
      <c r="AG23" s="153"/>
      <c r="AH23" s="153"/>
      <c r="AI23" s="153"/>
      <c r="AJ23" s="154"/>
    </row>
    <row r="24" spans="2:36" ht="24" customHeight="1" thickBot="1">
      <c r="J24" s="216" t="s">
        <v>58</v>
      </c>
      <c r="K24" s="217"/>
      <c r="L24" s="40">
        <v>0</v>
      </c>
      <c r="M24" s="39">
        <f>AVERAGE(M16:M23)</f>
        <v>-4.0519565785594638E-2</v>
      </c>
      <c r="N24" s="39">
        <f t="shared" ref="N24:AJ24" si="1">AVERAGE(N16:N23)</f>
        <v>-1.0945004180490464E-2</v>
      </c>
      <c r="O24" s="39">
        <f t="shared" si="1"/>
        <v>-8.3691973935542674E-3</v>
      </c>
      <c r="P24" s="39">
        <f t="shared" si="1"/>
        <v>2.1612740873000594E-2</v>
      </c>
      <c r="Q24" s="39">
        <f t="shared" si="1"/>
        <v>8.0616213913878298E-5</v>
      </c>
      <c r="R24" s="39">
        <f t="shared" si="1"/>
        <v>-7.9940618952976356E-2</v>
      </c>
      <c r="S24" s="39">
        <f t="shared" si="1"/>
        <v>-6.4864201903143126E-3</v>
      </c>
      <c r="T24" s="39">
        <f t="shared" si="1"/>
        <v>7.4246745968452946E-2</v>
      </c>
      <c r="U24" s="39">
        <f t="shared" si="1"/>
        <v>0.10849915229565087</v>
      </c>
      <c r="V24" s="39">
        <f t="shared" si="1"/>
        <v>0.14960788746769585</v>
      </c>
      <c r="W24" s="39">
        <f t="shared" si="1"/>
        <v>0.12844411435073505</v>
      </c>
      <c r="X24" s="39">
        <f t="shared" si="1"/>
        <v>2.1028698456651326E-2</v>
      </c>
      <c r="Y24" s="39">
        <f t="shared" si="1"/>
        <v>-1.6991085649961282E-2</v>
      </c>
      <c r="Z24" s="39">
        <f t="shared" si="1"/>
        <v>8.6022104368954452E-2</v>
      </c>
      <c r="AA24" s="39">
        <f t="shared" si="1"/>
        <v>-4.200460915837171E-2</v>
      </c>
      <c r="AB24" s="39">
        <f t="shared" si="1"/>
        <v>-3.6580954484640625E-2</v>
      </c>
      <c r="AC24" s="39">
        <f t="shared" si="1"/>
        <v>-8.5430410333180537E-2</v>
      </c>
      <c r="AD24" s="39">
        <f t="shared" si="1"/>
        <v>-8.5231454919682162E-2</v>
      </c>
      <c r="AE24" s="39">
        <f t="shared" si="1"/>
        <v>-0.1286192966285091</v>
      </c>
      <c r="AF24" s="39">
        <f t="shared" si="1"/>
        <v>-1.8630772622917718E-2</v>
      </c>
      <c r="AG24" s="39">
        <f t="shared" si="1"/>
        <v>6.7189297979502294E-2</v>
      </c>
      <c r="AH24" s="39">
        <f t="shared" si="1"/>
        <v>4.3537669856022032E-2</v>
      </c>
      <c r="AI24" s="39">
        <f t="shared" si="1"/>
        <v>4.6382751888101793E-2</v>
      </c>
      <c r="AJ24" s="38">
        <f t="shared" si="1"/>
        <v>-4.5992324293599153E-2</v>
      </c>
    </row>
    <row r="25" spans="2:36" ht="20" customHeigh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30" hidden="1"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1.05" hidden="1" customHeight="1">
      <c r="J27" s="206" t="s">
        <v>91</v>
      </c>
      <c r="K27" s="207"/>
      <c r="L27" s="158">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52">
        <v>0.15979569178065556</v>
      </c>
    </row>
    <row r="28" spans="2:36" ht="1.05" hidden="1"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0.38842044041457058</v>
      </c>
      <c r="AF28" s="147">
        <v>0.46797880909447076</v>
      </c>
      <c r="AG28" s="147">
        <v>0.43129381818358792</v>
      </c>
      <c r="AH28" s="147">
        <v>0.46996211042729796</v>
      </c>
      <c r="AI28" s="147">
        <v>0.44902672224777396</v>
      </c>
      <c r="AJ28" s="152">
        <v>0.36564289381915693</v>
      </c>
    </row>
    <row r="29" spans="2:36" ht="1.05" hidden="1"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52">
        <v>0.24249812060483178</v>
      </c>
    </row>
    <row r="30" spans="2:36" ht="1.05" hidden="1"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1.05" hidden="1"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0.20531230398190772</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8" spans="10:36" ht="35.25" hidden="1" thickBot="1">
      <c r="J68" s="214" t="s">
        <v>132</v>
      </c>
      <c r="K68" s="21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hidden="1">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hidden="1">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hidden="1">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7.25" hidden="1"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7.25" hidden="1"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J24:K24"/>
    <mergeCell ref="F1:H1"/>
    <mergeCell ref="B2:D3"/>
    <mergeCell ref="J2:K2"/>
    <mergeCell ref="J11:K11"/>
    <mergeCell ref="J15:K15"/>
    <mergeCell ref="J73:K73"/>
    <mergeCell ref="J26:K26"/>
    <mergeCell ref="J27:K27"/>
    <mergeCell ref="J28:K28"/>
    <mergeCell ref="J29:K29"/>
    <mergeCell ref="J30:K30"/>
    <mergeCell ref="J31:K31"/>
    <mergeCell ref="J68:K68"/>
    <mergeCell ref="J69:K69"/>
    <mergeCell ref="J70:K70"/>
    <mergeCell ref="J71:K71"/>
    <mergeCell ref="J72:K72"/>
  </mergeCells>
  <phoneticPr fontId="13" type="noConversion"/>
  <conditionalFormatting sqref="C16:G23">
    <cfRule type="cellIs" dxfId="173" priority="6" operator="between">
      <formula>7</formula>
      <formula>8</formula>
    </cfRule>
    <cfRule type="cellIs" dxfId="172" priority="7" operator="between">
      <formula>1</formula>
      <formula>2</formula>
    </cfRule>
  </conditionalFormatting>
  <conditionalFormatting sqref="F3">
    <cfRule type="cellIs" dxfId="171" priority="2" operator="equal">
      <formula>"GOOD"</formula>
    </cfRule>
    <cfRule type="cellIs" dxfId="170" priority="4" operator="equal">
      <formula>"GOOD"</formula>
    </cfRule>
    <cfRule type="top10" dxfId="169" priority="5" percent="1" rank="10"/>
  </conditionalFormatting>
  <conditionalFormatting sqref="G3">
    <cfRule type="cellIs" dxfId="168" priority="1" operator="equal">
      <formula>"BAD"</formula>
    </cfRule>
    <cfRule type="cellIs" dxfId="167" priority="3" operator="equal">
      <formula>"BAD"</formula>
    </cfRule>
  </conditionalFormatting>
  <pageMargins left="0.7" right="0.7" top="0.75" bottom="0.75" header="0.3" footer="0.3"/>
  <pageSetup paperSize="9" orientation="portrait" horizontalDpi="360" verticalDpi="36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8B021-FC5B-3B43-BDE8-6F51A4A75A81}">
  <dimension ref="B1:AJ73"/>
  <sheetViews>
    <sheetView topLeftCell="A57" zoomScale="70" zoomScaleNormal="70" workbookViewId="0">
      <selection activeCell="I76" sqref="I76"/>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18"/>
      <c r="G1" s="219"/>
      <c r="H1" s="219"/>
    </row>
    <row r="2" spans="2:36" ht="24" customHeight="1" thickBot="1">
      <c r="B2" s="255" t="s">
        <v>89</v>
      </c>
      <c r="C2" s="256"/>
      <c r="D2" s="257"/>
      <c r="J2" s="226" t="s">
        <v>60</v>
      </c>
      <c r="K2" s="252"/>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58"/>
      <c r="C3" s="259"/>
      <c r="D3" s="260"/>
      <c r="F3" s="188" t="s">
        <v>130</v>
      </c>
      <c r="G3" s="189" t="s">
        <v>129</v>
      </c>
      <c r="J3" s="163" t="s">
        <v>81</v>
      </c>
      <c r="K3" s="192" t="s">
        <v>98</v>
      </c>
      <c r="L3" s="166">
        <v>0</v>
      </c>
      <c r="M3" s="147">
        <v>-6.3548102383053862E-2</v>
      </c>
      <c r="N3" s="147">
        <v>-5.1191526919682206E-2</v>
      </c>
      <c r="O3" s="147">
        <v>-0.17299205648720217</v>
      </c>
      <c r="P3" s="147">
        <v>0.27802294792586069</v>
      </c>
      <c r="Q3" s="147">
        <v>0.13857016769638153</v>
      </c>
      <c r="R3" s="147">
        <v>-0.14386584289496906</v>
      </c>
      <c r="S3" s="147">
        <v>0.15710503089143879</v>
      </c>
      <c r="T3" s="147">
        <v>0.15092674315975296</v>
      </c>
      <c r="U3" s="147">
        <v>-9.3556928508384707E-2</v>
      </c>
      <c r="V3" s="147">
        <v>0.1103265666372466</v>
      </c>
      <c r="W3" s="147">
        <v>3.7952338923213036E-2</v>
      </c>
      <c r="X3" s="147">
        <v>-0.13150926743159719</v>
      </c>
      <c r="Y3" s="147">
        <v>-0.1624007060900261</v>
      </c>
      <c r="Z3" s="147">
        <v>-0.27360988526037033</v>
      </c>
      <c r="AA3" s="147">
        <v>-0.14651368049426261</v>
      </c>
      <c r="AB3" s="147">
        <v>-0.17917034421888745</v>
      </c>
      <c r="AC3" s="147">
        <v>-0.44571932921447455</v>
      </c>
      <c r="AD3" s="147">
        <v>-0.57281553398058227</v>
      </c>
      <c r="AE3" s="147">
        <v>-0.70079435127978806</v>
      </c>
      <c r="AF3" s="147">
        <v>-0.6548984995586935</v>
      </c>
      <c r="AG3" s="147">
        <v>-0.51809355692850811</v>
      </c>
      <c r="AH3" s="147">
        <v>-0.57016769638128828</v>
      </c>
      <c r="AI3" s="147">
        <v>-0.38746690203000833</v>
      </c>
      <c r="AJ3" s="152">
        <v>-0.28420123565754574</v>
      </c>
    </row>
    <row r="4" spans="2:36" ht="24" customHeight="1" thickBot="1">
      <c r="J4" s="164" t="s">
        <v>81</v>
      </c>
      <c r="K4" s="196" t="s">
        <v>97</v>
      </c>
      <c r="L4" s="167">
        <v>0</v>
      </c>
      <c r="M4" s="147">
        <v>-0.33043478260869563</v>
      </c>
      <c r="N4" s="147">
        <v>-0.28160535117056851</v>
      </c>
      <c r="O4" s="147">
        <v>-0.44013377926421404</v>
      </c>
      <c r="P4" s="147">
        <v>-0.43678929765886287</v>
      </c>
      <c r="Q4" s="147">
        <v>-0.47892976588628766</v>
      </c>
      <c r="R4" s="147">
        <v>-0.5565217391304349</v>
      </c>
      <c r="S4" s="147">
        <v>-0.46220735785953193</v>
      </c>
      <c r="T4" s="147">
        <v>-0.46755852842809376</v>
      </c>
      <c r="U4" s="147">
        <v>-0.56655518394648841</v>
      </c>
      <c r="V4" s="147">
        <v>-0.46488294314381284</v>
      </c>
      <c r="W4" s="147">
        <v>-0.44481605351170572</v>
      </c>
      <c r="X4" s="147">
        <v>-0.5130434782608696</v>
      </c>
      <c r="Y4" s="147">
        <v>-0.52240802675585285</v>
      </c>
      <c r="Z4" s="147">
        <v>-0.54314381270903012</v>
      </c>
      <c r="AA4" s="147">
        <v>-0.40735785953177261</v>
      </c>
      <c r="AB4" s="147">
        <v>-0.48026755852842806</v>
      </c>
      <c r="AC4" s="147">
        <v>-0.6040133779264214</v>
      </c>
      <c r="AD4" s="147">
        <v>-0.69230769230769229</v>
      </c>
      <c r="AE4" s="147">
        <v>-0.74849498327759201</v>
      </c>
      <c r="AF4" s="147">
        <v>-0.70434782608695645</v>
      </c>
      <c r="AG4" s="147">
        <v>-0.62876254180602009</v>
      </c>
      <c r="AH4" s="147">
        <v>-0.64481605351170568</v>
      </c>
      <c r="AI4" s="147">
        <v>-0.56655518394648818</v>
      </c>
      <c r="AJ4" s="152">
        <v>-0.50367892976588624</v>
      </c>
    </row>
    <row r="5" spans="2:36" ht="24" customHeight="1">
      <c r="B5" s="51"/>
      <c r="C5" s="50">
        <v>2021</v>
      </c>
      <c r="D5" s="50">
        <v>2022</v>
      </c>
      <c r="E5" s="50">
        <v>2023</v>
      </c>
      <c r="F5" s="50">
        <v>2024</v>
      </c>
      <c r="G5" s="49">
        <v>2025</v>
      </c>
      <c r="J5" s="165" t="s">
        <v>82</v>
      </c>
      <c r="K5" s="192" t="s">
        <v>71</v>
      </c>
      <c r="L5" s="168">
        <v>0</v>
      </c>
      <c r="M5" s="147">
        <v>-3.5569105691056868E-2</v>
      </c>
      <c r="N5" s="147">
        <v>-0.16361788617886164</v>
      </c>
      <c r="O5" s="147">
        <v>-1.7276422764227584E-2</v>
      </c>
      <c r="P5" s="147">
        <v>-5.4878048780487743E-2</v>
      </c>
      <c r="Q5" s="147">
        <v>-0.36178861788617878</v>
      </c>
      <c r="R5" s="147">
        <v>-0.50813008130081294</v>
      </c>
      <c r="S5" s="147">
        <v>-0.65548780487804881</v>
      </c>
      <c r="T5" s="147">
        <v>-0.60264227642276413</v>
      </c>
      <c r="U5" s="147">
        <v>-0.44512195121951215</v>
      </c>
      <c r="V5" s="147">
        <v>-0.50508130081300806</v>
      </c>
      <c r="W5" s="147">
        <v>-0.2947154471544714</v>
      </c>
      <c r="X5" s="147">
        <v>-0.17581300813008116</v>
      </c>
      <c r="Y5" s="147">
        <v>-0.38617886178861771</v>
      </c>
      <c r="Z5" s="147">
        <v>-0.44410569105691045</v>
      </c>
      <c r="AA5" s="147">
        <v>-0.4989837398373983</v>
      </c>
      <c r="AB5" s="147">
        <v>-0.59949186991869907</v>
      </c>
      <c r="AC5" s="147">
        <v>-0.63109756097560976</v>
      </c>
      <c r="AD5" s="147">
        <v>-0.45630081300813008</v>
      </c>
      <c r="AE5" s="147">
        <v>-0.38211382113821135</v>
      </c>
      <c r="AF5" s="147">
        <v>-0.40752032520325199</v>
      </c>
      <c r="AG5" s="147">
        <v>-0.27743902439024382</v>
      </c>
      <c r="AH5" s="147">
        <v>-0.14329268292682917</v>
      </c>
      <c r="AI5" s="147">
        <v>-0.26829268292682917</v>
      </c>
      <c r="AJ5" s="152">
        <v>-0.55894308943089421</v>
      </c>
    </row>
    <row r="6" spans="2:36" ht="24" customHeight="1">
      <c r="B6" s="47" t="s">
        <v>69</v>
      </c>
      <c r="C6" s="138">
        <v>20.991921320688444</v>
      </c>
      <c r="D6" s="139">
        <v>26.884984902552841</v>
      </c>
      <c r="E6" s="139">
        <v>25.354466858789625</v>
      </c>
      <c r="F6" s="139">
        <v>26.890376984126984</v>
      </c>
      <c r="G6" s="140">
        <v>26.774320019603039</v>
      </c>
      <c r="H6" s="1"/>
      <c r="J6" s="164" t="s">
        <v>82</v>
      </c>
      <c r="K6" s="191" t="s">
        <v>97</v>
      </c>
      <c r="L6" s="167">
        <v>0</v>
      </c>
      <c r="M6" s="147">
        <v>-1.9230769230769273E-2</v>
      </c>
      <c r="N6" s="147">
        <v>-6.1813186813186816E-2</v>
      </c>
      <c r="O6" s="147">
        <v>0.21703296703296693</v>
      </c>
      <c r="P6" s="147">
        <v>6.7307692307692291E-2</v>
      </c>
      <c r="Q6" s="147">
        <v>-0.1868131868131867</v>
      </c>
      <c r="R6" s="147">
        <v>-0.36813186813186805</v>
      </c>
      <c r="S6" s="147">
        <v>-0.48351648351648346</v>
      </c>
      <c r="T6" s="147">
        <v>-0.39285714285714279</v>
      </c>
      <c r="U6" s="147">
        <v>-0.23763736263736257</v>
      </c>
      <c r="V6" s="147">
        <v>-0.27060439560439553</v>
      </c>
      <c r="W6" s="147">
        <v>-0.10989010989010972</v>
      </c>
      <c r="X6" s="147">
        <v>1.9230769230769384E-2</v>
      </c>
      <c r="Y6" s="147">
        <v>-0.21978021978021967</v>
      </c>
      <c r="Z6" s="147">
        <v>-0.23214285714285698</v>
      </c>
      <c r="AA6" s="147">
        <v>-0.16346153846153832</v>
      </c>
      <c r="AB6" s="147">
        <v>-0.11950549450549419</v>
      </c>
      <c r="AC6" s="147">
        <v>-0.30219780219780201</v>
      </c>
      <c r="AD6" s="147">
        <v>-9.8901098901098661E-2</v>
      </c>
      <c r="AE6" s="147">
        <v>-0.21703296703296671</v>
      </c>
      <c r="AF6" s="147">
        <v>-0.17994505494505464</v>
      </c>
      <c r="AG6" s="147">
        <v>7.9670329670330275E-2</v>
      </c>
      <c r="AH6" s="147">
        <v>-9.6153846153845701E-2</v>
      </c>
      <c r="AI6" s="147">
        <v>-0.10439560439560402</v>
      </c>
      <c r="AJ6" s="152">
        <v>-0.3379120879120876</v>
      </c>
    </row>
    <row r="7" spans="2:36" ht="24" customHeight="1">
      <c r="B7" s="47" t="s">
        <v>70</v>
      </c>
      <c r="C7" s="141">
        <v>12.698029754724567</v>
      </c>
      <c r="D7" s="142">
        <v>19.869837296620776</v>
      </c>
      <c r="E7" s="142">
        <v>23.783956244302644</v>
      </c>
      <c r="F7" s="142">
        <v>22.135159010600706</v>
      </c>
      <c r="G7" s="143">
        <v>21.413899955732624</v>
      </c>
      <c r="H7" s="1"/>
      <c r="J7" s="165" t="s">
        <v>83</v>
      </c>
      <c r="K7" s="192" t="s">
        <v>71</v>
      </c>
      <c r="L7" s="168">
        <v>0</v>
      </c>
      <c r="M7" s="147">
        <v>-0.25524044389642409</v>
      </c>
      <c r="N7" s="147">
        <v>-0.32552404438964244</v>
      </c>
      <c r="O7" s="147">
        <v>-0.39210850801479658</v>
      </c>
      <c r="P7" s="147">
        <v>-0.51405672009864367</v>
      </c>
      <c r="Q7" s="147">
        <v>-0.55240443896424174</v>
      </c>
      <c r="R7" s="147">
        <v>-0.34032059186189889</v>
      </c>
      <c r="S7" s="147">
        <v>-0.25030826140567197</v>
      </c>
      <c r="T7" s="147">
        <v>-0.28113440197287287</v>
      </c>
      <c r="U7" s="147">
        <v>-0.12330456226880371</v>
      </c>
      <c r="V7" s="147">
        <v>3.9457459926017568E-2</v>
      </c>
      <c r="W7" s="147">
        <v>-0.11220715166461126</v>
      </c>
      <c r="X7" s="147">
        <v>-0.46485819975339071</v>
      </c>
      <c r="Y7" s="147">
        <v>-0.6325524044389641</v>
      </c>
      <c r="Z7" s="147">
        <v>-0.50431565967940795</v>
      </c>
      <c r="AA7" s="147">
        <v>-0.55610357583230563</v>
      </c>
      <c r="AB7" s="147">
        <v>-0.45992601726263849</v>
      </c>
      <c r="AC7" s="147">
        <v>-0.39580764488286035</v>
      </c>
      <c r="AD7" s="147">
        <v>-0.45561035758323032</v>
      </c>
      <c r="AE7" s="147">
        <v>-0.52404438964241651</v>
      </c>
      <c r="AF7" s="147">
        <v>-0.43773119605425381</v>
      </c>
      <c r="AG7" s="147">
        <v>-0.41923551171393314</v>
      </c>
      <c r="AH7" s="147">
        <v>-0.42786683107274948</v>
      </c>
      <c r="AI7" s="147">
        <v>-0.45252774352651015</v>
      </c>
      <c r="AJ7" s="152">
        <v>-0.56473489519112186</v>
      </c>
    </row>
    <row r="8" spans="2:36" ht="24" customHeight="1">
      <c r="B8" s="47" t="s">
        <v>71</v>
      </c>
      <c r="C8" s="141">
        <v>52.820512820512818</v>
      </c>
      <c r="D8" s="142">
        <v>47.514285714285712</v>
      </c>
      <c r="E8" s="142">
        <v>39.224043715846996</v>
      </c>
      <c r="F8" s="142">
        <v>45.481927710843372</v>
      </c>
      <c r="G8" s="143">
        <v>47.139240506329116</v>
      </c>
      <c r="J8" s="164" t="s">
        <v>83</v>
      </c>
      <c r="K8" s="191" t="s">
        <v>76</v>
      </c>
      <c r="L8" s="167">
        <v>0</v>
      </c>
      <c r="M8" s="147">
        <v>6.9783670621070826E-4</v>
      </c>
      <c r="N8" s="147">
        <v>-2.2563386834147492E-2</v>
      </c>
      <c r="O8" s="147">
        <v>-6.0246568969527847E-2</v>
      </c>
      <c r="P8" s="147">
        <v>-0.1270062805303559</v>
      </c>
      <c r="Q8" s="147">
        <v>-0.16003721795766457</v>
      </c>
      <c r="R8" s="147">
        <v>5.1639916259595298E-2</v>
      </c>
      <c r="S8" s="147">
        <v>0.11444521981856237</v>
      </c>
      <c r="T8" s="147">
        <v>0.22354035822284257</v>
      </c>
      <c r="U8" s="147">
        <v>0.50616422423819496</v>
      </c>
      <c r="V8" s="147">
        <v>0.70388462433123977</v>
      </c>
      <c r="W8" s="147">
        <v>0.68132123749709228</v>
      </c>
      <c r="X8" s="147">
        <v>0.14491742265643159</v>
      </c>
      <c r="Y8" s="147">
        <v>2.9774366131658514E-2</v>
      </c>
      <c r="Z8" s="147">
        <v>0.18469411491044418</v>
      </c>
      <c r="AA8" s="147">
        <v>0.15096534077692469</v>
      </c>
      <c r="AB8" s="147">
        <v>0.23191439869737152</v>
      </c>
      <c r="AC8" s="147">
        <v>0.46033961386368927</v>
      </c>
      <c r="AD8" s="147">
        <v>0.15794370783903244</v>
      </c>
      <c r="AE8" s="147">
        <v>-2.9309141660851412E-2</v>
      </c>
      <c r="AF8" s="147">
        <v>-3.0239590602464395E-3</v>
      </c>
      <c r="AG8" s="147">
        <v>0.17003954408001865</v>
      </c>
      <c r="AH8" s="147">
        <v>0.18236799255640834</v>
      </c>
      <c r="AI8" s="147">
        <v>0.20027913468248437</v>
      </c>
      <c r="AJ8" s="152">
        <v>-0.14445219818562449</v>
      </c>
    </row>
    <row r="9" spans="2:36" ht="24" customHeight="1">
      <c r="B9" s="47" t="s">
        <v>72</v>
      </c>
      <c r="C9" s="141">
        <v>13.401994711112158</v>
      </c>
      <c r="D9" s="142">
        <v>27.202432092272968</v>
      </c>
      <c r="E9" s="142">
        <v>28.308626727798739</v>
      </c>
      <c r="F9" s="142">
        <v>31.183233012721068</v>
      </c>
      <c r="G9" s="143">
        <v>35.33937105553936</v>
      </c>
      <c r="J9" s="165" t="s">
        <v>84</v>
      </c>
      <c r="K9" s="192" t="s">
        <v>71</v>
      </c>
      <c r="L9" s="166">
        <v>0</v>
      </c>
      <c r="M9" s="147">
        <v>-0.31336405529953915</v>
      </c>
      <c r="N9" s="147">
        <v>-7.373271889400923E-2</v>
      </c>
      <c r="O9" s="147">
        <v>-0.17050691244239624</v>
      </c>
      <c r="P9" s="147">
        <v>9.2165898617511122E-3</v>
      </c>
      <c r="Q9" s="147">
        <v>0.12903225806451624</v>
      </c>
      <c r="R9" s="147">
        <v>1.7281105990783363E-2</v>
      </c>
      <c r="S9" s="147">
        <v>-0.1105990783410139</v>
      </c>
      <c r="T9" s="147">
        <v>5.0691244239631228E-2</v>
      </c>
      <c r="U9" s="147">
        <v>8.5253456221198176E-2</v>
      </c>
      <c r="V9" s="147">
        <v>6.9124423963133452E-2</v>
      </c>
      <c r="W9" s="147">
        <v>2.3041474654377891E-2</v>
      </c>
      <c r="X9" s="147">
        <v>-0.18663594470046097</v>
      </c>
      <c r="Y9" s="147">
        <v>-0.16359447004608307</v>
      </c>
      <c r="Z9" s="147">
        <v>0.39400921658986165</v>
      </c>
      <c r="AJ9" s="41"/>
    </row>
    <row r="10" spans="2:36" ht="24" customHeight="1" thickBot="1">
      <c r="B10" s="63" t="s">
        <v>75</v>
      </c>
      <c r="C10" s="141">
        <v>39.586885245901641</v>
      </c>
      <c r="D10" s="142">
        <v>34.954198473282446</v>
      </c>
      <c r="E10" s="142">
        <v>29.448698315467077</v>
      </c>
      <c r="F10" s="142">
        <v>27.131578947368421</v>
      </c>
      <c r="G10" s="143">
        <v>25.172222222222221</v>
      </c>
      <c r="J10" s="163" t="s">
        <v>84</v>
      </c>
      <c r="K10" s="190" t="s">
        <v>72</v>
      </c>
      <c r="L10" s="166">
        <v>0</v>
      </c>
      <c r="M10" s="147">
        <v>-9.1384317521781222E-2</v>
      </c>
      <c r="N10" s="147">
        <v>7.6089060987415413E-2</v>
      </c>
      <c r="O10" s="147">
        <v>6.3891577928364196E-2</v>
      </c>
      <c r="P10" s="147">
        <v>-1.9361084220703706E-4</v>
      </c>
      <c r="Q10" s="147">
        <v>0.21316553727008714</v>
      </c>
      <c r="R10" s="147">
        <v>0.17657308809293326</v>
      </c>
      <c r="S10" s="147">
        <v>0.20387221684414314</v>
      </c>
      <c r="T10" s="147">
        <v>0.4714424007744431</v>
      </c>
      <c r="U10" s="147">
        <v>0.65091965150048381</v>
      </c>
      <c r="V10" s="147">
        <v>0.71597289448209067</v>
      </c>
      <c r="W10" s="147">
        <v>0.97773475314617597</v>
      </c>
      <c r="X10" s="147">
        <v>0.56902226524685373</v>
      </c>
      <c r="Y10" s="147">
        <v>0.46447241045498533</v>
      </c>
      <c r="Z10" s="147">
        <v>0.77366892545982546</v>
      </c>
      <c r="AA10" s="153"/>
      <c r="AB10" s="153"/>
      <c r="AC10" s="153"/>
      <c r="AD10" s="153"/>
      <c r="AE10" s="153"/>
      <c r="AF10" s="153"/>
      <c r="AG10" s="153"/>
      <c r="AH10" s="153"/>
      <c r="AI10" s="153"/>
      <c r="AJ10" s="154"/>
    </row>
    <row r="11" spans="2:36" ht="24" customHeight="1" thickBot="1">
      <c r="B11" s="47" t="s">
        <v>76</v>
      </c>
      <c r="C11" s="141">
        <v>12.038986354775828</v>
      </c>
      <c r="D11" s="142">
        <v>22.912114014251781</v>
      </c>
      <c r="E11" s="142">
        <v>30.709867452135494</v>
      </c>
      <c r="F11" s="142">
        <v>24.94155154091392</v>
      </c>
      <c r="G11" s="143">
        <v>25.35886019590383</v>
      </c>
      <c r="J11" s="216" t="s">
        <v>58</v>
      </c>
      <c r="K11" s="253"/>
      <c r="L11" s="169">
        <v>0</v>
      </c>
      <c r="M11" s="39">
        <f t="shared" ref="M11:AJ11" si="0">AVERAGE(M3:M10)</f>
        <v>-0.13850921749063869</v>
      </c>
      <c r="N11" s="39">
        <f t="shared" si="0"/>
        <v>-0.11299488002658536</v>
      </c>
      <c r="O11" s="39">
        <f t="shared" si="0"/>
        <v>-0.12154246287262915</v>
      </c>
      <c r="P11" s="39">
        <f t="shared" si="0"/>
        <v>-9.7297090976906642E-2</v>
      </c>
      <c r="Q11" s="39">
        <f t="shared" si="0"/>
        <v>-0.15740065805957182</v>
      </c>
      <c r="R11" s="39">
        <f t="shared" si="0"/>
        <v>-0.20893450162208396</v>
      </c>
      <c r="S11" s="39">
        <f t="shared" si="0"/>
        <v>-0.18583706480582574</v>
      </c>
      <c r="T11" s="39">
        <f t="shared" si="0"/>
        <v>-0.10594895041052546</v>
      </c>
      <c r="U11" s="39">
        <f t="shared" si="0"/>
        <v>-2.797983207758431E-2</v>
      </c>
      <c r="V11" s="39">
        <f t="shared" si="0"/>
        <v>4.977466622231394E-2</v>
      </c>
      <c r="W11" s="39">
        <f t="shared" si="0"/>
        <v>9.4802630249995135E-2</v>
      </c>
      <c r="X11" s="39">
        <f t="shared" si="0"/>
        <v>-9.2336180142793101E-2</v>
      </c>
      <c r="Y11" s="39">
        <f t="shared" si="0"/>
        <v>-0.19908348903913997</v>
      </c>
      <c r="Z11" s="39">
        <f t="shared" si="0"/>
        <v>-8.0618206111055579E-2</v>
      </c>
      <c r="AA11" s="39">
        <f t="shared" si="0"/>
        <v>-0.27024250889672546</v>
      </c>
      <c r="AB11" s="39">
        <f t="shared" si="0"/>
        <v>-0.26774114762279594</v>
      </c>
      <c r="AC11" s="39">
        <f t="shared" si="0"/>
        <v>-0.31974935022224649</v>
      </c>
      <c r="AD11" s="39">
        <f t="shared" si="0"/>
        <v>-0.35299863132361686</v>
      </c>
      <c r="AE11" s="39">
        <f t="shared" si="0"/>
        <v>-0.43363160900530434</v>
      </c>
      <c r="AF11" s="39">
        <f t="shared" si="0"/>
        <v>-0.39791114348474282</v>
      </c>
      <c r="AG11" s="39">
        <f t="shared" si="0"/>
        <v>-0.26563679351472602</v>
      </c>
      <c r="AH11" s="39">
        <f t="shared" si="0"/>
        <v>-0.28332151958166835</v>
      </c>
      <c r="AI11" s="39">
        <f t="shared" si="0"/>
        <v>-0.26315983035715923</v>
      </c>
      <c r="AJ11" s="38">
        <f t="shared" si="0"/>
        <v>-0.39898707269052669</v>
      </c>
    </row>
    <row r="12" spans="2:36" ht="24" customHeight="1">
      <c r="B12" s="64" t="s">
        <v>74</v>
      </c>
      <c r="C12" s="141">
        <v>16.655848546315077</v>
      </c>
      <c r="D12" s="142">
        <v>25.95554272517321</v>
      </c>
      <c r="E12" s="142">
        <v>29.044065963773992</v>
      </c>
      <c r="F12" s="142">
        <v>28.102930312730855</v>
      </c>
      <c r="G12" s="143">
        <v>25.942028985507246</v>
      </c>
    </row>
    <row r="13" spans="2:36" ht="24" customHeight="1" thickBot="1">
      <c r="B13" s="65" t="s">
        <v>73</v>
      </c>
      <c r="C13" s="144">
        <v>15.736315789473684</v>
      </c>
      <c r="D13" s="145">
        <v>18.129749103942654</v>
      </c>
      <c r="E13" s="145">
        <v>18.410402790992705</v>
      </c>
      <c r="F13" s="145">
        <v>19.402895813660685</v>
      </c>
      <c r="G13" s="146">
        <v>20.864010536713863</v>
      </c>
    </row>
    <row r="14" spans="2:36" ht="24" customHeight="1" thickBot="1"/>
    <row r="15" spans="2:36" ht="24" customHeight="1" thickBot="1">
      <c r="B15" s="51"/>
      <c r="C15" s="50">
        <v>2021</v>
      </c>
      <c r="D15" s="50">
        <v>2022</v>
      </c>
      <c r="E15" s="50">
        <v>2023</v>
      </c>
      <c r="F15" s="50">
        <v>2024</v>
      </c>
      <c r="G15" s="49">
        <v>2025</v>
      </c>
      <c r="J15" s="228" t="s">
        <v>59</v>
      </c>
      <c r="K15" s="254"/>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3</v>
      </c>
      <c r="D16" s="84">
        <v>4</v>
      </c>
      <c r="E16" s="84">
        <v>6</v>
      </c>
      <c r="F16" s="84">
        <v>5</v>
      </c>
      <c r="G16" s="85">
        <v>3</v>
      </c>
      <c r="J16" s="48" t="s">
        <v>81</v>
      </c>
      <c r="K16" s="199" t="s">
        <v>99</v>
      </c>
      <c r="L16" s="42">
        <v>0</v>
      </c>
      <c r="M16" s="147">
        <v>2.0032995522036412E-2</v>
      </c>
      <c r="N16" s="147">
        <v>1.1784115012962726E-3</v>
      </c>
      <c r="O16" s="147">
        <v>-0.21140702333254768</v>
      </c>
      <c r="P16" s="147">
        <v>-0.16780579778458626</v>
      </c>
      <c r="Q16" s="147">
        <v>-0.19868017911854818</v>
      </c>
      <c r="R16" s="147">
        <v>-0.32665566815932123</v>
      </c>
      <c r="S16" s="147">
        <v>-0.20645769502710343</v>
      </c>
      <c r="T16" s="147">
        <v>-0.12868253594155077</v>
      </c>
      <c r="U16" s="147">
        <v>-0.2649069054913975</v>
      </c>
      <c r="V16" s="147">
        <v>-0.21894885694084365</v>
      </c>
      <c r="W16" s="147">
        <v>-0.26302144708932351</v>
      </c>
      <c r="X16" s="147">
        <v>-0.2858826302144708</v>
      </c>
      <c r="Y16" s="147">
        <v>-0.33160499646476538</v>
      </c>
      <c r="Z16" s="147">
        <v>-0.34103228847513534</v>
      </c>
      <c r="AA16" s="147">
        <v>-0.20103700212114051</v>
      </c>
      <c r="AB16" s="147">
        <v>-0.24228140466650938</v>
      </c>
      <c r="AC16" s="147">
        <v>-0.29908083902898874</v>
      </c>
      <c r="AD16" s="147">
        <v>-0.39948149893942952</v>
      </c>
      <c r="AE16" s="147">
        <v>-0.50412444025453684</v>
      </c>
      <c r="AF16" s="147">
        <v>-0.4296488333726135</v>
      </c>
      <c r="AG16" s="147">
        <v>-0.35564459109120872</v>
      </c>
      <c r="AH16" s="147">
        <v>-0.32901249116191345</v>
      </c>
      <c r="AI16" s="147">
        <v>-0.23073297195380593</v>
      </c>
      <c r="AJ16" s="152">
        <v>-0.34480320527928321</v>
      </c>
    </row>
    <row r="17" spans="2:36" ht="24" customHeight="1">
      <c r="B17" s="47" t="s">
        <v>70</v>
      </c>
      <c r="C17" s="84">
        <v>7</v>
      </c>
      <c r="D17" s="84">
        <v>7</v>
      </c>
      <c r="E17" s="84">
        <v>7</v>
      </c>
      <c r="F17" s="84">
        <v>7</v>
      </c>
      <c r="G17" s="85">
        <v>7</v>
      </c>
      <c r="J17" s="43" t="s">
        <v>81</v>
      </c>
      <c r="K17" s="198" t="s">
        <v>100</v>
      </c>
      <c r="L17" s="45">
        <v>0</v>
      </c>
      <c r="M17" s="147">
        <v>-6.2403033959662069E-2</v>
      </c>
      <c r="N17" s="147">
        <v>-0.16807446991897945</v>
      </c>
      <c r="O17" s="147">
        <v>-0.30960179279434574</v>
      </c>
      <c r="P17" s="147">
        <v>-0.23582141010170654</v>
      </c>
      <c r="Q17" s="147">
        <v>-0.24909498362351312</v>
      </c>
      <c r="R17" s="147">
        <v>-0.32511635924840543</v>
      </c>
      <c r="S17" s="147">
        <v>-0.23358041716945344</v>
      </c>
      <c r="T17" s="147">
        <v>-0.18220996379934495</v>
      </c>
      <c r="U17" s="147">
        <v>-0.25978279606964327</v>
      </c>
      <c r="V17" s="147">
        <v>-0.11498017583175313</v>
      </c>
      <c r="W17" s="147">
        <v>-0.17548698500258586</v>
      </c>
      <c r="X17" s="147">
        <v>-0.27667643509739703</v>
      </c>
      <c r="Y17" s="147">
        <v>-0.25081882434063096</v>
      </c>
      <c r="Z17" s="147">
        <v>-0.22547836579900027</v>
      </c>
      <c r="AA17" s="147">
        <v>-8.3261506636786886E-2</v>
      </c>
      <c r="AB17" s="147">
        <v>-0.1616962592656439</v>
      </c>
      <c r="AC17" s="147">
        <v>-0.27650405102568532</v>
      </c>
      <c r="AD17" s="147">
        <v>-0.36079986209274273</v>
      </c>
      <c r="AE17" s="147">
        <v>-0.45474918117565943</v>
      </c>
      <c r="AF17" s="147">
        <v>-0.34821582485778313</v>
      </c>
      <c r="AG17" s="147">
        <v>-0.32649543182209972</v>
      </c>
      <c r="AH17" s="147">
        <v>-0.38234787105671453</v>
      </c>
      <c r="AI17" s="147">
        <v>-0.35545595586967771</v>
      </c>
      <c r="AJ17" s="152">
        <v>-0.25892087571108435</v>
      </c>
    </row>
    <row r="18" spans="2:36" ht="24" customHeight="1">
      <c r="B18" s="47" t="s">
        <v>71</v>
      </c>
      <c r="C18" s="86">
        <v>1</v>
      </c>
      <c r="D18" s="86">
        <v>1</v>
      </c>
      <c r="E18" s="86">
        <v>1</v>
      </c>
      <c r="F18" s="86">
        <v>1</v>
      </c>
      <c r="G18" s="87">
        <v>1</v>
      </c>
      <c r="J18" s="44" t="s">
        <v>82</v>
      </c>
      <c r="K18" s="197" t="s">
        <v>99</v>
      </c>
      <c r="L18" s="46">
        <v>0</v>
      </c>
      <c r="M18" s="147">
        <v>-6.4026402640264046E-2</v>
      </c>
      <c r="N18" s="147">
        <v>-7.7227722772277185E-2</v>
      </c>
      <c r="O18" s="147">
        <v>0.11881188118811892</v>
      </c>
      <c r="P18" s="147">
        <v>6.1056105610561184E-2</v>
      </c>
      <c r="Q18" s="147">
        <v>-1.848184818481835E-2</v>
      </c>
      <c r="R18" s="147">
        <v>-0.15907590759075896</v>
      </c>
      <c r="S18" s="147">
        <v>-0.30561056105610551</v>
      </c>
      <c r="T18" s="147">
        <v>-0.20132013201320109</v>
      </c>
      <c r="U18" s="147">
        <v>-9.7689768976897406E-2</v>
      </c>
      <c r="V18" s="147">
        <v>-6.0396039603960117E-2</v>
      </c>
      <c r="W18" s="147">
        <v>7.7227722772277518E-2</v>
      </c>
      <c r="X18" s="147">
        <v>-8.2508250825082285E-2</v>
      </c>
      <c r="Y18" s="147">
        <v>-0.18052805280528039</v>
      </c>
      <c r="Z18" s="147">
        <v>-0.15181518151815154</v>
      </c>
      <c r="AA18" s="147">
        <v>-9.6039603960395792E-2</v>
      </c>
      <c r="AB18" s="147">
        <v>-0.14356435643564336</v>
      </c>
      <c r="AC18" s="147">
        <v>-8.0528052805280192E-2</v>
      </c>
      <c r="AD18" s="147">
        <v>-5.77557755775574E-2</v>
      </c>
      <c r="AE18" s="147">
        <v>-2.1782178217821357E-2</v>
      </c>
      <c r="AF18" s="147">
        <v>3.5313531353135641E-2</v>
      </c>
      <c r="AG18" s="147">
        <v>7.5577557755776015E-2</v>
      </c>
      <c r="AH18" s="147">
        <v>-1.2541254125412182E-2</v>
      </c>
      <c r="AI18" s="147">
        <v>-9.9009900990065791E-4</v>
      </c>
      <c r="AJ18" s="152">
        <v>7.9867986798680013E-2</v>
      </c>
    </row>
    <row r="19" spans="2:36" ht="24" customHeight="1">
      <c r="B19" s="47" t="s">
        <v>72</v>
      </c>
      <c r="C19" s="86">
        <v>6</v>
      </c>
      <c r="D19" s="86">
        <v>3</v>
      </c>
      <c r="E19" s="86">
        <v>5</v>
      </c>
      <c r="F19" s="86">
        <v>2</v>
      </c>
      <c r="G19" s="87">
        <v>2</v>
      </c>
      <c r="J19" s="43" t="s">
        <v>82</v>
      </c>
      <c r="K19" s="197" t="s">
        <v>73</v>
      </c>
      <c r="L19" s="45">
        <v>0</v>
      </c>
      <c r="M19" s="147">
        <v>-1.7460787215152318E-2</v>
      </c>
      <c r="N19" s="147">
        <v>4.0248594258656345E-2</v>
      </c>
      <c r="O19" s="147">
        <v>0.36134951168984908</v>
      </c>
      <c r="P19" s="147">
        <v>0.32465226398342706</v>
      </c>
      <c r="Q19" s="147">
        <v>0.23054158034921568</v>
      </c>
      <c r="R19" s="147">
        <v>6.1852619118082375E-2</v>
      </c>
      <c r="S19" s="147">
        <v>-0.10328499556081672</v>
      </c>
      <c r="T19" s="147">
        <v>6.2740455756140845E-2</v>
      </c>
      <c r="U19" s="147">
        <v>0.15773897602841069</v>
      </c>
      <c r="V19" s="147">
        <v>0.12636874815034038</v>
      </c>
      <c r="W19" s="147">
        <v>0.21633619414027816</v>
      </c>
      <c r="X19" s="147">
        <v>0.38088191772713809</v>
      </c>
      <c r="Y19" s="147">
        <v>0.44421426457531821</v>
      </c>
      <c r="Z19" s="147">
        <v>0.47173720035513478</v>
      </c>
      <c r="AA19" s="147">
        <v>0.3711157147084938</v>
      </c>
      <c r="AB19" s="147">
        <v>0.24326723882805568</v>
      </c>
      <c r="AC19" s="147">
        <v>0.23231725362533306</v>
      </c>
      <c r="AD19" s="147">
        <v>0.47292098253921311</v>
      </c>
      <c r="AE19" s="147">
        <v>0.65936667653151848</v>
      </c>
      <c r="AF19" s="147">
        <v>0.85646641018052705</v>
      </c>
      <c r="AG19" s="147">
        <v>0.75969221663214026</v>
      </c>
      <c r="AH19" s="147">
        <v>0.95679195028114905</v>
      </c>
      <c r="AI19" s="147">
        <v>0.74874223142941765</v>
      </c>
      <c r="AJ19" s="152">
        <v>0.27138206569991175</v>
      </c>
    </row>
    <row r="20" spans="2:36" ht="24" customHeight="1">
      <c r="B20" s="63" t="s">
        <v>75</v>
      </c>
      <c r="C20" s="88">
        <v>2</v>
      </c>
      <c r="D20" s="89">
        <v>2</v>
      </c>
      <c r="E20" s="89">
        <v>3</v>
      </c>
      <c r="F20" s="89">
        <v>4</v>
      </c>
      <c r="G20" s="90">
        <v>6</v>
      </c>
      <c r="J20" s="165" t="s">
        <v>83</v>
      </c>
      <c r="K20" s="199" t="s">
        <v>99</v>
      </c>
      <c r="L20" s="168">
        <v>0</v>
      </c>
      <c r="M20" s="147">
        <v>-0.10683453237410079</v>
      </c>
      <c r="N20" s="147">
        <v>-7.5539568345323715E-2</v>
      </c>
      <c r="O20" s="147">
        <v>-1.4748201438848918E-2</v>
      </c>
      <c r="P20" s="147">
        <v>-6.6546762589928088E-2</v>
      </c>
      <c r="Q20" s="147">
        <v>2.1582733812950394E-3</v>
      </c>
      <c r="R20" s="147">
        <v>2.6978417266187105E-2</v>
      </c>
      <c r="S20" s="147">
        <v>6.6187050359712396E-2</v>
      </c>
      <c r="T20" s="147">
        <v>0.12841726618705041</v>
      </c>
      <c r="U20" s="147">
        <v>0.17230215827338147</v>
      </c>
      <c r="V20" s="147">
        <v>7.6258992805755543E-2</v>
      </c>
      <c r="W20" s="147">
        <v>8.8848920863309422E-2</v>
      </c>
      <c r="X20" s="147">
        <v>0.17697841726618702</v>
      </c>
      <c r="Y20" s="147">
        <v>-1.4028776978417201E-2</v>
      </c>
      <c r="Z20" s="147">
        <v>0.17697841726618702</v>
      </c>
      <c r="AA20" s="147">
        <v>0.14388489208633093</v>
      </c>
      <c r="AB20" s="147">
        <v>9.676258992805753E-2</v>
      </c>
      <c r="AC20" s="147">
        <v>0.16654676258992795</v>
      </c>
      <c r="AD20" s="147">
        <v>0.13165467625899274</v>
      </c>
      <c r="AE20" s="147">
        <v>8.0575539568345178E-2</v>
      </c>
      <c r="AF20" s="147">
        <v>0.24136690647481984</v>
      </c>
      <c r="AG20" s="147">
        <v>0.47374100719424428</v>
      </c>
      <c r="AH20" s="147">
        <v>0.70215827338129477</v>
      </c>
      <c r="AI20" s="147">
        <v>0.76438848920863278</v>
      </c>
      <c r="AJ20" s="152">
        <v>0.34568345323740979</v>
      </c>
    </row>
    <row r="21" spans="2:36" ht="24" customHeight="1">
      <c r="B21" s="47" t="s">
        <v>76</v>
      </c>
      <c r="C21" s="91">
        <v>8</v>
      </c>
      <c r="D21" s="91">
        <v>6</v>
      </c>
      <c r="E21" s="84">
        <v>2</v>
      </c>
      <c r="F21" s="84">
        <v>6</v>
      </c>
      <c r="G21" s="85">
        <v>5</v>
      </c>
      <c r="J21" s="164" t="s">
        <v>83</v>
      </c>
      <c r="K21" s="198" t="s">
        <v>73</v>
      </c>
      <c r="L21" s="167">
        <v>0</v>
      </c>
      <c r="M21" s="147">
        <v>4.5863694813544909E-2</v>
      </c>
      <c r="N21" s="147">
        <v>6.5795113587655552E-2</v>
      </c>
      <c r="O21" s="147">
        <v>-7.0724389198455473E-3</v>
      </c>
      <c r="P21" s="147">
        <v>-9.9657093870552882E-2</v>
      </c>
      <c r="Q21" s="147">
        <v>-0.10758679811401617</v>
      </c>
      <c r="R21" s="147">
        <v>6.6652378911273402E-2</v>
      </c>
      <c r="S21" s="147">
        <v>0.2016716673810548</v>
      </c>
      <c r="T21" s="147">
        <v>0.34440634376339507</v>
      </c>
      <c r="U21" s="147">
        <v>0.2743249035576516</v>
      </c>
      <c r="V21" s="147">
        <v>0.4170595799399921</v>
      </c>
      <c r="W21" s="147">
        <v>0.26639519931418842</v>
      </c>
      <c r="X21" s="147">
        <v>-7.9297042434632981E-2</v>
      </c>
      <c r="Y21" s="147">
        <v>-0.12087441063008952</v>
      </c>
      <c r="Z21" s="147">
        <v>2.1860265752250863E-2</v>
      </c>
      <c r="AA21" s="147">
        <v>4.1577368195456987E-2</v>
      </c>
      <c r="AB21" s="147">
        <v>0.12687526789541415</v>
      </c>
      <c r="AC21" s="147">
        <v>0.31290184312044644</v>
      </c>
      <c r="AD21" s="147">
        <v>0.20595799399914339</v>
      </c>
      <c r="AE21" s="147">
        <v>0.21945992284612137</v>
      </c>
      <c r="AF21" s="147">
        <v>0.36648092584655001</v>
      </c>
      <c r="AG21" s="147">
        <v>0.47942563223317691</v>
      </c>
      <c r="AH21" s="147">
        <v>0.40462923274753626</v>
      </c>
      <c r="AI21" s="147">
        <v>0.40055722246035197</v>
      </c>
      <c r="AJ21" s="152">
        <v>0.42091727389627143</v>
      </c>
    </row>
    <row r="22" spans="2:36" ht="24" customHeight="1">
      <c r="B22" s="64" t="s">
        <v>74</v>
      </c>
      <c r="C22" s="92">
        <v>4</v>
      </c>
      <c r="D22" s="92">
        <v>5</v>
      </c>
      <c r="E22" s="92">
        <v>4</v>
      </c>
      <c r="F22" s="92">
        <v>3</v>
      </c>
      <c r="G22" s="93">
        <v>4</v>
      </c>
      <c r="J22" s="44" t="s">
        <v>84</v>
      </c>
      <c r="K22" s="197" t="s">
        <v>99</v>
      </c>
      <c r="L22" s="42">
        <v>0</v>
      </c>
      <c r="M22" s="147">
        <v>-0.16228606356968212</v>
      </c>
      <c r="N22" s="147">
        <v>0</v>
      </c>
      <c r="O22" s="147">
        <v>-2.8117359413202925E-2</v>
      </c>
      <c r="P22" s="147">
        <v>-6.8154034229828908E-2</v>
      </c>
      <c r="Q22" s="147">
        <v>-8.8630806845966248E-3</v>
      </c>
      <c r="R22" s="147">
        <v>-3.8508557457212711E-2</v>
      </c>
      <c r="S22" s="147">
        <v>-8.1907090464547694E-2</v>
      </c>
      <c r="T22" s="147">
        <v>5.4706601466992577E-2</v>
      </c>
      <c r="U22" s="147">
        <v>0.2521393643031784</v>
      </c>
      <c r="V22" s="147">
        <v>0.44621026894865534</v>
      </c>
      <c r="W22" s="147">
        <v>0.49908312958435208</v>
      </c>
      <c r="X22" s="147">
        <v>0.14333740831295838</v>
      </c>
      <c r="Y22" s="147">
        <v>0.15892420537897323</v>
      </c>
      <c r="Z22" s="147">
        <v>0.3126528117359415</v>
      </c>
      <c r="AJ22" s="41"/>
    </row>
    <row r="23" spans="2:36" ht="24" customHeight="1" thickBot="1">
      <c r="B23" s="65" t="s">
        <v>73</v>
      </c>
      <c r="C23" s="94">
        <v>5</v>
      </c>
      <c r="D23" s="94">
        <v>8</v>
      </c>
      <c r="E23" s="94">
        <v>8</v>
      </c>
      <c r="F23" s="94">
        <v>8</v>
      </c>
      <c r="G23" s="95">
        <v>8</v>
      </c>
      <c r="J23" s="43" t="s">
        <v>84</v>
      </c>
      <c r="K23" s="197" t="s">
        <v>73</v>
      </c>
      <c r="L23" s="42">
        <v>0</v>
      </c>
      <c r="M23" s="147">
        <v>-4.5158286778398504E-2</v>
      </c>
      <c r="N23" s="147">
        <v>0.10986964618249528</v>
      </c>
      <c r="O23" s="147">
        <v>0.13128491620111715</v>
      </c>
      <c r="P23" s="147">
        <v>0.22392923649906882</v>
      </c>
      <c r="Q23" s="147">
        <v>0.42597765363128492</v>
      </c>
      <c r="R23" s="147">
        <v>0.30982309124767227</v>
      </c>
      <c r="S23" s="147">
        <v>0.32448789571694592</v>
      </c>
      <c r="T23" s="147">
        <v>0.48417132216014891</v>
      </c>
      <c r="U23" s="147">
        <v>0.60684357541899447</v>
      </c>
      <c r="V23" s="147">
        <v>0.52560521415270034</v>
      </c>
      <c r="W23" s="147">
        <v>0.52118249534450634</v>
      </c>
      <c r="X23" s="147">
        <v>0.54329608938547458</v>
      </c>
      <c r="Y23" s="147">
        <v>0.57844506517690863</v>
      </c>
      <c r="Z23" s="147">
        <v>0.89897579143389184</v>
      </c>
      <c r="AA23" s="153"/>
      <c r="AB23" s="153"/>
      <c r="AC23" s="153"/>
      <c r="AD23" s="153"/>
      <c r="AE23" s="153"/>
      <c r="AF23" s="153"/>
      <c r="AG23" s="153"/>
      <c r="AH23" s="153"/>
      <c r="AI23" s="153"/>
      <c r="AJ23" s="154"/>
    </row>
    <row r="24" spans="2:36" ht="24" customHeight="1" thickBot="1">
      <c r="J24" s="216" t="s">
        <v>58</v>
      </c>
      <c r="K24" s="217"/>
      <c r="L24" s="40">
        <v>0</v>
      </c>
      <c r="M24" s="39">
        <f>AVERAGE(M16:M23)</f>
        <v>-4.9034052025209815E-2</v>
      </c>
      <c r="N24" s="39">
        <f t="shared" ref="N24:AJ24" si="1">AVERAGE(N16:N23)</f>
        <v>-1.2968749438309612E-2</v>
      </c>
      <c r="O24" s="39">
        <f t="shared" si="1"/>
        <v>5.0624366475367916E-3</v>
      </c>
      <c r="P24" s="39">
        <f t="shared" si="1"/>
        <v>-3.5434365604432028E-3</v>
      </c>
      <c r="Q24" s="39">
        <f t="shared" si="1"/>
        <v>9.4963272045378994E-3</v>
      </c>
      <c r="R24" s="39">
        <f t="shared" si="1"/>
        <v>-4.8006248239060398E-2</v>
      </c>
      <c r="S24" s="39">
        <f t="shared" si="1"/>
        <v>-4.2311768227539209E-2</v>
      </c>
      <c r="T24" s="39">
        <f t="shared" si="1"/>
        <v>7.0278669697453874E-2</v>
      </c>
      <c r="U24" s="39">
        <f t="shared" si="1"/>
        <v>0.10512118838045981</v>
      </c>
      <c r="V24" s="39">
        <f t="shared" si="1"/>
        <v>0.14964721645261087</v>
      </c>
      <c r="W24" s="39">
        <f t="shared" si="1"/>
        <v>0.15382065374087533</v>
      </c>
      <c r="X24" s="39">
        <f t="shared" si="1"/>
        <v>6.501618426502187E-2</v>
      </c>
      <c r="Y24" s="39">
        <f t="shared" si="1"/>
        <v>3.5466059239002076E-2</v>
      </c>
      <c r="Z24" s="39">
        <f t="shared" si="1"/>
        <v>0.14548483134388984</v>
      </c>
      <c r="AA24" s="39">
        <f t="shared" si="1"/>
        <v>2.9373310378659756E-2</v>
      </c>
      <c r="AB24" s="39">
        <f t="shared" si="1"/>
        <v>-1.3439487286044882E-2</v>
      </c>
      <c r="AC24" s="39">
        <f t="shared" si="1"/>
        <v>9.2754860792922025E-3</v>
      </c>
      <c r="AD24" s="39">
        <f t="shared" si="1"/>
        <v>-1.2505806353967364E-3</v>
      </c>
      <c r="AE24" s="39">
        <f t="shared" si="1"/>
        <v>-3.5422767836721012E-3</v>
      </c>
      <c r="AF24" s="39">
        <f t="shared" si="1"/>
        <v>0.12029385260410598</v>
      </c>
      <c r="AG24" s="39">
        <f t="shared" si="1"/>
        <v>0.18438273181700482</v>
      </c>
      <c r="AH24" s="39">
        <f t="shared" si="1"/>
        <v>0.22327964001098999</v>
      </c>
      <c r="AI24" s="39">
        <f t="shared" si="1"/>
        <v>0.22108481937750302</v>
      </c>
      <c r="AJ24" s="38">
        <f t="shared" si="1"/>
        <v>8.5687783106984231E-2</v>
      </c>
    </row>
    <row r="25" spans="2:36" ht="21" customHeigh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30" hidden="1"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1.05" hidden="1" customHeight="1">
      <c r="J27" s="206" t="s">
        <v>91</v>
      </c>
      <c r="K27" s="207"/>
      <c r="L27" s="158">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52">
        <v>0.15979569178065556</v>
      </c>
    </row>
    <row r="28" spans="2:36" ht="1.05" hidden="1"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0.38842044041457058</v>
      </c>
      <c r="AF28" s="147">
        <v>0.46797880909447076</v>
      </c>
      <c r="AG28" s="147">
        <v>0.43129381818358792</v>
      </c>
      <c r="AH28" s="147">
        <v>0.46996211042729796</v>
      </c>
      <c r="AI28" s="147">
        <v>0.44902672224777396</v>
      </c>
      <c r="AJ28" s="152">
        <v>0.36564289381915693</v>
      </c>
    </row>
    <row r="29" spans="2:36" ht="1.05" hidden="1"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52">
        <v>0.24249812060483178</v>
      </c>
    </row>
    <row r="30" spans="2:36" ht="1.05" hidden="1"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1.05" hidden="1"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0.20531230398190772</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7" spans="10:36" ht="15.75" customHeight="1"/>
    <row r="68" spans="10:36" ht="35.25" hidden="1" thickBot="1">
      <c r="J68" s="214" t="s">
        <v>132</v>
      </c>
      <c r="K68" s="21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hidden="1">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hidden="1">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hidden="1">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7.25" hidden="1"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7.25" hidden="1"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J24:K24"/>
    <mergeCell ref="F1:H1"/>
    <mergeCell ref="B2:D3"/>
    <mergeCell ref="J2:K2"/>
    <mergeCell ref="J11:K11"/>
    <mergeCell ref="J15:K15"/>
    <mergeCell ref="J73:K73"/>
    <mergeCell ref="J26:K26"/>
    <mergeCell ref="J31:K31"/>
    <mergeCell ref="J27:K27"/>
    <mergeCell ref="J28:K28"/>
    <mergeCell ref="J29:K29"/>
    <mergeCell ref="J30:K30"/>
    <mergeCell ref="J68:K68"/>
    <mergeCell ref="J69:K69"/>
    <mergeCell ref="J70:K70"/>
    <mergeCell ref="J71:K71"/>
    <mergeCell ref="J72:K72"/>
  </mergeCells>
  <phoneticPr fontId="13" type="noConversion"/>
  <conditionalFormatting sqref="C16:G23">
    <cfRule type="cellIs" dxfId="166" priority="20" operator="between">
      <formula>7</formula>
      <formula>8</formula>
    </cfRule>
    <cfRule type="cellIs" dxfId="165" priority="21" operator="between">
      <formula>1</formula>
      <formula>2</formula>
    </cfRule>
  </conditionalFormatting>
  <conditionalFormatting sqref="F3">
    <cfRule type="cellIs" dxfId="164" priority="2" operator="equal">
      <formula>"GOOD"</formula>
    </cfRule>
    <cfRule type="cellIs" dxfId="163" priority="4" operator="equal">
      <formula>"GOOD"</formula>
    </cfRule>
    <cfRule type="top10" dxfId="162" priority="5" percent="1" rank="10"/>
  </conditionalFormatting>
  <conditionalFormatting sqref="G3">
    <cfRule type="cellIs" dxfId="161" priority="1" operator="equal">
      <formula>"BAD"</formula>
    </cfRule>
    <cfRule type="cellIs" dxfId="160" priority="3" operator="equal">
      <formula>"BAD"</formula>
    </cfRule>
  </conditionalFormatting>
  <pageMargins left="0.7" right="0.7" top="0.75" bottom="0.75" header="0.3" footer="0.3"/>
  <pageSetup paperSize="9" orientation="portrait" horizontalDpi="360" verticalDpi="36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EA534-99DB-FC42-B648-DC258D75B560}">
  <dimension ref="B1:AJ73"/>
  <sheetViews>
    <sheetView topLeftCell="A54" zoomScale="55" zoomScaleNormal="55" workbookViewId="0">
      <selection activeCell="AJ78" sqref="AJ78"/>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18"/>
      <c r="G1" s="219"/>
      <c r="H1" s="219"/>
    </row>
    <row r="2" spans="2:36" ht="24" customHeight="1" thickBot="1">
      <c r="B2" s="220" t="s">
        <v>95</v>
      </c>
      <c r="C2" s="221"/>
      <c r="D2" s="222"/>
      <c r="J2" s="226" t="s">
        <v>60</v>
      </c>
      <c r="K2" s="227"/>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23"/>
      <c r="C3" s="224"/>
      <c r="D3" s="225"/>
      <c r="F3" s="188" t="s">
        <v>130</v>
      </c>
      <c r="G3" s="189" t="s">
        <v>129</v>
      </c>
      <c r="J3" s="48" t="s">
        <v>81</v>
      </c>
      <c r="K3" s="190" t="s">
        <v>98</v>
      </c>
      <c r="L3" s="42">
        <v>0</v>
      </c>
      <c r="M3" s="147">
        <v>-6.3548102383053862E-2</v>
      </c>
      <c r="N3" s="147">
        <v>-5.1191526919682206E-2</v>
      </c>
      <c r="O3" s="147">
        <v>-0.17299205648720217</v>
      </c>
      <c r="P3" s="147">
        <v>0.27802294792586069</v>
      </c>
      <c r="Q3" s="147">
        <v>0.13857016769638153</v>
      </c>
      <c r="R3" s="147">
        <v>-0.14386584289496906</v>
      </c>
      <c r="S3" s="147">
        <v>0.15710503089143879</v>
      </c>
      <c r="T3" s="147">
        <v>0.15092674315975296</v>
      </c>
      <c r="U3" s="147">
        <v>-9.3556928508384707E-2</v>
      </c>
      <c r="V3" s="147">
        <v>0.1103265666372466</v>
      </c>
      <c r="W3" s="147">
        <v>3.7952338923213036E-2</v>
      </c>
      <c r="X3" s="147">
        <v>-0.13150926743159719</v>
      </c>
      <c r="Y3" s="147">
        <v>-0.1624007060900261</v>
      </c>
      <c r="Z3" s="147">
        <v>-0.27360988526037033</v>
      </c>
      <c r="AA3" s="147">
        <v>-0.14651368049426261</v>
      </c>
      <c r="AB3" s="147">
        <v>-0.17917034421888745</v>
      </c>
      <c r="AC3" s="147">
        <v>-0.44571932921447455</v>
      </c>
      <c r="AD3" s="147">
        <v>-0.57281553398058227</v>
      </c>
      <c r="AE3" s="147">
        <v>-0.70079435127978806</v>
      </c>
      <c r="AF3" s="147">
        <v>-0.6548984995586935</v>
      </c>
      <c r="AG3" s="147">
        <v>-0.51809355692850811</v>
      </c>
      <c r="AH3" s="147">
        <v>-0.57016769638128828</v>
      </c>
      <c r="AI3" s="147">
        <v>-0.38746690203000833</v>
      </c>
      <c r="AJ3" s="152">
        <v>-0.28420123565754574</v>
      </c>
    </row>
    <row r="4" spans="2:36" ht="24" customHeight="1" thickBot="1">
      <c r="J4" s="43" t="s">
        <v>81</v>
      </c>
      <c r="K4" s="191" t="s">
        <v>97</v>
      </c>
      <c r="L4" s="45">
        <v>0</v>
      </c>
      <c r="M4" s="147">
        <v>-0.33043478260869563</v>
      </c>
      <c r="N4" s="147">
        <v>-0.28160535117056851</v>
      </c>
      <c r="O4" s="147">
        <v>-0.44013377926421404</v>
      </c>
      <c r="P4" s="147">
        <v>-0.43678929765886287</v>
      </c>
      <c r="Q4" s="147">
        <v>-0.47892976588628766</v>
      </c>
      <c r="R4" s="147">
        <v>-0.5565217391304349</v>
      </c>
      <c r="S4" s="147">
        <v>-0.46220735785953193</v>
      </c>
      <c r="T4" s="147">
        <v>-0.46755852842809376</v>
      </c>
      <c r="U4" s="147">
        <v>-0.56655518394648841</v>
      </c>
      <c r="V4" s="147">
        <v>-0.46488294314381284</v>
      </c>
      <c r="W4" s="147">
        <v>-0.44481605351170572</v>
      </c>
      <c r="X4" s="147">
        <v>-0.5130434782608696</v>
      </c>
      <c r="Y4" s="147">
        <v>-0.52240802675585285</v>
      </c>
      <c r="Z4" s="147">
        <v>-0.54314381270903012</v>
      </c>
      <c r="AA4" s="147">
        <v>-0.40735785953177261</v>
      </c>
      <c r="AB4" s="147">
        <v>-0.48026755852842806</v>
      </c>
      <c r="AC4" s="147">
        <v>-0.6040133779264214</v>
      </c>
      <c r="AD4" s="147">
        <v>-0.69230769230769229</v>
      </c>
      <c r="AE4" s="147">
        <v>-0.74849498327759201</v>
      </c>
      <c r="AF4" s="147">
        <v>-0.70434782608695645</v>
      </c>
      <c r="AG4" s="147">
        <v>-0.62876254180602009</v>
      </c>
      <c r="AH4" s="147">
        <v>-0.64481605351170568</v>
      </c>
      <c r="AI4" s="147">
        <v>-0.56655518394648818</v>
      </c>
      <c r="AJ4" s="152">
        <v>-0.50367892976588624</v>
      </c>
    </row>
    <row r="5" spans="2:36" ht="24" customHeight="1">
      <c r="B5" s="51"/>
      <c r="C5" s="50">
        <v>2021</v>
      </c>
      <c r="D5" s="50">
        <v>2022</v>
      </c>
      <c r="E5" s="50">
        <v>2023</v>
      </c>
      <c r="F5" s="50">
        <v>2024</v>
      </c>
      <c r="G5" s="49">
        <v>2025</v>
      </c>
      <c r="J5" s="44" t="s">
        <v>82</v>
      </c>
      <c r="K5" s="192" t="s">
        <v>98</v>
      </c>
      <c r="L5" s="46">
        <v>0</v>
      </c>
      <c r="M5" s="147">
        <v>-3.5569105691056868E-2</v>
      </c>
      <c r="N5" s="147">
        <v>-0.16361788617886164</v>
      </c>
      <c r="O5" s="147">
        <v>-1.7276422764227584E-2</v>
      </c>
      <c r="P5" s="147">
        <v>-5.4878048780487743E-2</v>
      </c>
      <c r="Q5" s="147">
        <v>-0.36178861788617878</v>
      </c>
      <c r="R5" s="147">
        <v>-0.50813008130081294</v>
      </c>
      <c r="S5" s="147">
        <v>-0.65548780487804881</v>
      </c>
      <c r="T5" s="147">
        <v>-0.60264227642276413</v>
      </c>
      <c r="U5" s="147">
        <v>-0.44512195121951215</v>
      </c>
      <c r="V5" s="147">
        <v>-0.50508130081300806</v>
      </c>
      <c r="W5" s="147">
        <v>-0.2947154471544714</v>
      </c>
      <c r="X5" s="147">
        <v>-0.17581300813008116</v>
      </c>
      <c r="Y5" s="147">
        <v>-0.38617886178861771</v>
      </c>
      <c r="Z5" s="147">
        <v>-0.44410569105691045</v>
      </c>
      <c r="AA5" s="147">
        <v>-0.4989837398373983</v>
      </c>
      <c r="AB5" s="147">
        <v>-0.59949186991869907</v>
      </c>
      <c r="AC5" s="147">
        <v>-0.63109756097560976</v>
      </c>
      <c r="AD5" s="147">
        <v>-0.45630081300813008</v>
      </c>
      <c r="AE5" s="147">
        <v>-0.38211382113821135</v>
      </c>
      <c r="AF5" s="147">
        <v>-0.40752032520325199</v>
      </c>
      <c r="AG5" s="147">
        <v>-0.27743902439024382</v>
      </c>
      <c r="AH5" s="147">
        <v>-0.14329268292682917</v>
      </c>
      <c r="AI5" s="147">
        <v>-0.26829268292682917</v>
      </c>
      <c r="AJ5" s="152">
        <v>-0.55894308943089421</v>
      </c>
    </row>
    <row r="6" spans="2:36" ht="24" customHeight="1">
      <c r="B6" s="47" t="s">
        <v>69</v>
      </c>
      <c r="C6" s="138">
        <v>17.387641390035469</v>
      </c>
      <c r="D6" s="139">
        <v>13.576351311248088</v>
      </c>
      <c r="E6" s="139">
        <v>14.395885427819247</v>
      </c>
      <c r="F6" s="139">
        <v>13.573628970373774</v>
      </c>
      <c r="G6" s="140">
        <v>13.632465725641236</v>
      </c>
      <c r="H6" s="1"/>
      <c r="J6" s="43" t="s">
        <v>82</v>
      </c>
      <c r="K6" s="191" t="s">
        <v>97</v>
      </c>
      <c r="L6" s="45">
        <v>0</v>
      </c>
      <c r="M6" s="147">
        <v>-1.9230769230769273E-2</v>
      </c>
      <c r="N6" s="147">
        <v>-6.1813186813186816E-2</v>
      </c>
      <c r="O6" s="147">
        <v>0.21703296703296693</v>
      </c>
      <c r="P6" s="147">
        <v>6.7307692307692291E-2</v>
      </c>
      <c r="Q6" s="147">
        <v>-0.1868131868131867</v>
      </c>
      <c r="R6" s="147">
        <v>-0.36813186813186805</v>
      </c>
      <c r="S6" s="147">
        <v>-0.48351648351648346</v>
      </c>
      <c r="T6" s="147">
        <v>-0.39285714285714279</v>
      </c>
      <c r="U6" s="147">
        <v>-0.23763736263736257</v>
      </c>
      <c r="V6" s="147">
        <v>-0.27060439560439553</v>
      </c>
      <c r="W6" s="147">
        <v>-0.10989010989010972</v>
      </c>
      <c r="X6" s="147">
        <v>1.9230769230769384E-2</v>
      </c>
      <c r="Y6" s="147">
        <v>-0.21978021978021967</v>
      </c>
      <c r="Z6" s="147">
        <v>-0.23214285714285698</v>
      </c>
      <c r="AA6" s="147">
        <v>-0.16346153846153832</v>
      </c>
      <c r="AB6" s="147">
        <v>-0.11950549450549419</v>
      </c>
      <c r="AC6" s="147">
        <v>-0.30219780219780201</v>
      </c>
      <c r="AD6" s="147">
        <v>-9.8901098901098661E-2</v>
      </c>
      <c r="AE6" s="147">
        <v>-0.21703296703296671</v>
      </c>
      <c r="AF6" s="147">
        <v>-0.17994505494505464</v>
      </c>
      <c r="AG6" s="147">
        <v>7.9670329670330275E-2</v>
      </c>
      <c r="AH6" s="147">
        <v>-9.6153846153845701E-2</v>
      </c>
      <c r="AI6" s="147">
        <v>-0.10439560439560402</v>
      </c>
      <c r="AJ6" s="152">
        <v>-0.3379120879120876</v>
      </c>
    </row>
    <row r="7" spans="2:36" ht="24" customHeight="1">
      <c r="B7" s="47" t="s">
        <v>70</v>
      </c>
      <c r="C7" s="141">
        <v>28.744616856800167</v>
      </c>
      <c r="D7" s="142">
        <v>18.369551521189354</v>
      </c>
      <c r="E7" s="142">
        <v>15.346451395896402</v>
      </c>
      <c r="F7" s="142">
        <v>16.48960370400339</v>
      </c>
      <c r="G7" s="143">
        <v>17.048108360579167</v>
      </c>
      <c r="H7" s="1"/>
      <c r="J7" s="44" t="s">
        <v>83</v>
      </c>
      <c r="K7" s="192" t="s">
        <v>98</v>
      </c>
      <c r="L7" s="46">
        <v>0</v>
      </c>
      <c r="M7" s="147">
        <v>-0.25524044389642409</v>
      </c>
      <c r="N7" s="147">
        <v>-0.32552404438964244</v>
      </c>
      <c r="O7" s="147">
        <v>-0.39210850801479658</v>
      </c>
      <c r="P7" s="147">
        <v>-0.51405672009864367</v>
      </c>
      <c r="Q7" s="147">
        <v>-0.55240443896424174</v>
      </c>
      <c r="R7" s="147">
        <v>-0.34032059186189889</v>
      </c>
      <c r="S7" s="147">
        <v>-0.25030826140567197</v>
      </c>
      <c r="T7" s="147">
        <v>-0.28113440197287287</v>
      </c>
      <c r="U7" s="147">
        <v>-0.12330456226880371</v>
      </c>
      <c r="V7" s="147">
        <v>3.9457459926017568E-2</v>
      </c>
      <c r="W7" s="147">
        <v>-0.11220715166461126</v>
      </c>
      <c r="X7" s="147">
        <v>-0.46485819975339071</v>
      </c>
      <c r="Y7" s="147">
        <v>-0.6325524044389641</v>
      </c>
      <c r="Z7" s="147">
        <v>-0.50431565967940795</v>
      </c>
      <c r="AA7" s="147">
        <v>-0.55610357583230563</v>
      </c>
      <c r="AB7" s="147">
        <v>-0.45992601726263849</v>
      </c>
      <c r="AC7" s="147">
        <v>-0.39580764488286035</v>
      </c>
      <c r="AD7" s="147">
        <v>-0.45561035758323032</v>
      </c>
      <c r="AE7" s="147">
        <v>-0.52404438964241651</v>
      </c>
      <c r="AF7" s="147">
        <v>-0.43773119605425381</v>
      </c>
      <c r="AG7" s="147">
        <v>-0.41923551171393314</v>
      </c>
      <c r="AH7" s="147">
        <v>-0.42786683107274948</v>
      </c>
      <c r="AI7" s="147">
        <v>-0.45252774352651015</v>
      </c>
      <c r="AJ7" s="152">
        <v>-0.56473489519112186</v>
      </c>
    </row>
    <row r="8" spans="2:36" ht="24" customHeight="1">
      <c r="B8" s="47" t="s">
        <v>71</v>
      </c>
      <c r="C8" s="141">
        <v>6.9101941747572821</v>
      </c>
      <c r="D8" s="142">
        <v>7.6819001803968732</v>
      </c>
      <c r="E8" s="142">
        <v>9.3055168570632478</v>
      </c>
      <c r="F8" s="142">
        <v>8.0251655629139069</v>
      </c>
      <c r="G8" s="143">
        <v>7.7430182599355524</v>
      </c>
      <c r="J8" s="43" t="s">
        <v>83</v>
      </c>
      <c r="K8" s="191" t="s">
        <v>100</v>
      </c>
      <c r="L8" s="45">
        <v>0</v>
      </c>
      <c r="M8" s="147">
        <v>6.9783670621070826E-4</v>
      </c>
      <c r="N8" s="147">
        <v>-2.2563386834147492E-2</v>
      </c>
      <c r="O8" s="147">
        <v>-6.0246568969527847E-2</v>
      </c>
      <c r="P8" s="147">
        <v>-0.1270062805303559</v>
      </c>
      <c r="Q8" s="147">
        <v>-0.16003721795766457</v>
      </c>
      <c r="R8" s="147">
        <v>5.1639916259595298E-2</v>
      </c>
      <c r="S8" s="147">
        <v>0.11444521981856237</v>
      </c>
      <c r="T8" s="147">
        <v>0.22354035822284257</v>
      </c>
      <c r="U8" s="147">
        <v>0.50616422423819496</v>
      </c>
      <c r="V8" s="147">
        <v>0.70388462433123977</v>
      </c>
      <c r="W8" s="147">
        <v>0.68132123749709228</v>
      </c>
      <c r="X8" s="147">
        <v>0.14491742265643159</v>
      </c>
      <c r="Y8" s="147">
        <v>2.9774366131658514E-2</v>
      </c>
      <c r="Z8" s="147">
        <v>0.18469411491044418</v>
      </c>
      <c r="AA8" s="147">
        <v>0.15096534077692469</v>
      </c>
      <c r="AB8" s="147">
        <v>0.23191439869737152</v>
      </c>
      <c r="AC8" s="147">
        <v>0.46033961386368927</v>
      </c>
      <c r="AD8" s="147">
        <v>0.15794370783903244</v>
      </c>
      <c r="AE8" s="147">
        <v>-2.9309141660851412E-2</v>
      </c>
      <c r="AF8" s="147">
        <v>-3.0239590602464395E-3</v>
      </c>
      <c r="AG8" s="147">
        <v>0.17003954408001865</v>
      </c>
      <c r="AH8" s="147">
        <v>0.18236799255640834</v>
      </c>
      <c r="AI8" s="147">
        <v>0.20027913468248437</v>
      </c>
      <c r="AJ8" s="152">
        <v>-0.14445219818562449</v>
      </c>
    </row>
    <row r="9" spans="2:36" ht="24" customHeight="1">
      <c r="B9" s="47" t="s">
        <v>72</v>
      </c>
      <c r="C9" s="141">
        <v>27.234751831185484</v>
      </c>
      <c r="D9" s="142">
        <v>13.41791788182354</v>
      </c>
      <c r="E9" s="142">
        <v>12.893596129181862</v>
      </c>
      <c r="F9" s="142">
        <v>11.705008260403909</v>
      </c>
      <c r="G9" s="143">
        <v>10.328423769239299</v>
      </c>
      <c r="J9" s="44" t="s">
        <v>84</v>
      </c>
      <c r="K9" s="190" t="s">
        <v>98</v>
      </c>
      <c r="L9" s="42">
        <v>0</v>
      </c>
      <c r="M9" s="147">
        <v>-0.31336405529953915</v>
      </c>
      <c r="N9" s="147">
        <v>-7.373271889400923E-2</v>
      </c>
      <c r="O9" s="147">
        <v>-0.17050691244239624</v>
      </c>
      <c r="P9" s="147">
        <v>9.2165898617511122E-3</v>
      </c>
      <c r="Q9" s="147">
        <v>0.12903225806451624</v>
      </c>
      <c r="R9" s="147">
        <v>1.7281105990783363E-2</v>
      </c>
      <c r="S9" s="147">
        <v>-0.1105990783410139</v>
      </c>
      <c r="T9" s="147">
        <v>5.0691244239631228E-2</v>
      </c>
      <c r="U9" s="147">
        <v>8.5253456221198176E-2</v>
      </c>
      <c r="V9" s="147">
        <v>6.9124423963133452E-2</v>
      </c>
      <c r="W9" s="147">
        <v>2.3041474654377891E-2</v>
      </c>
      <c r="X9" s="147">
        <v>-0.18663594470046097</v>
      </c>
      <c r="Y9" s="147">
        <v>-0.16359447004608307</v>
      </c>
      <c r="Z9" s="147">
        <v>0.39400921658986165</v>
      </c>
      <c r="AJ9" s="41"/>
    </row>
    <row r="10" spans="2:36" ht="24" customHeight="1" thickBot="1">
      <c r="B10" s="63" t="s">
        <v>75</v>
      </c>
      <c r="C10" s="141">
        <v>9.2202252774556896</v>
      </c>
      <c r="D10" s="142">
        <v>10.442236296134528</v>
      </c>
      <c r="E10" s="142">
        <v>12.394435777431097</v>
      </c>
      <c r="F10" s="142">
        <v>13.452958292919496</v>
      </c>
      <c r="G10" s="143">
        <v>14.500110350915914</v>
      </c>
      <c r="J10" s="43" t="s">
        <v>84</v>
      </c>
      <c r="K10" s="190" t="s">
        <v>101</v>
      </c>
      <c r="L10" s="42">
        <v>0</v>
      </c>
      <c r="M10" s="147">
        <v>-9.1384317521781222E-2</v>
      </c>
      <c r="N10" s="147">
        <v>7.6089060987415413E-2</v>
      </c>
      <c r="O10" s="147">
        <v>6.3891577928364196E-2</v>
      </c>
      <c r="P10" s="147">
        <v>-1.9361084220703706E-4</v>
      </c>
      <c r="Q10" s="147">
        <v>0.21316553727008714</v>
      </c>
      <c r="R10" s="147">
        <v>0.17657308809293326</v>
      </c>
      <c r="S10" s="147">
        <v>0.20387221684414314</v>
      </c>
      <c r="T10" s="147">
        <v>0.4714424007744431</v>
      </c>
      <c r="U10" s="147">
        <v>0.65091965150048381</v>
      </c>
      <c r="V10" s="147">
        <v>0.71597289448209067</v>
      </c>
      <c r="W10" s="147">
        <v>0.97773475314617597</v>
      </c>
      <c r="X10" s="147">
        <v>0.56902226524685373</v>
      </c>
      <c r="Y10" s="147">
        <v>0.46447241045498533</v>
      </c>
      <c r="Z10" s="147">
        <v>0.77366892545982546</v>
      </c>
      <c r="AA10" s="153"/>
      <c r="AB10" s="153"/>
      <c r="AC10" s="153"/>
      <c r="AD10" s="153"/>
      <c r="AE10" s="153"/>
      <c r="AF10" s="153"/>
      <c r="AG10" s="153"/>
      <c r="AH10" s="153"/>
      <c r="AI10" s="153"/>
      <c r="AJ10" s="154"/>
    </row>
    <row r="11" spans="2:36" ht="24" customHeight="1" thickBot="1">
      <c r="B11" s="47" t="s">
        <v>76</v>
      </c>
      <c r="C11" s="141">
        <v>30.318167098445596</v>
      </c>
      <c r="D11" s="142">
        <v>15.93043748704126</v>
      </c>
      <c r="E11" s="142">
        <v>11.885430654133895</v>
      </c>
      <c r="F11" s="142">
        <v>14.634213890072433</v>
      </c>
      <c r="G11" s="143">
        <v>14.393391389844794</v>
      </c>
      <c r="J11" s="216" t="s">
        <v>58</v>
      </c>
      <c r="K11" s="217"/>
      <c r="L11" s="40">
        <v>0</v>
      </c>
      <c r="M11" s="39">
        <f t="shared" ref="M11:AJ11" si="0">AVERAGE(M3:M10)</f>
        <v>-0.13850921749063869</v>
      </c>
      <c r="N11" s="39">
        <f t="shared" si="0"/>
        <v>-0.11299488002658536</v>
      </c>
      <c r="O11" s="39">
        <f t="shared" si="0"/>
        <v>-0.12154246287262915</v>
      </c>
      <c r="P11" s="39">
        <f t="shared" si="0"/>
        <v>-9.7297090976906642E-2</v>
      </c>
      <c r="Q11" s="39">
        <f t="shared" si="0"/>
        <v>-0.15740065805957182</v>
      </c>
      <c r="R11" s="39">
        <f t="shared" si="0"/>
        <v>-0.20893450162208396</v>
      </c>
      <c r="S11" s="39">
        <f t="shared" si="0"/>
        <v>-0.18583706480582574</v>
      </c>
      <c r="T11" s="39">
        <f t="shared" si="0"/>
        <v>-0.10594895041052546</v>
      </c>
      <c r="U11" s="39">
        <f t="shared" si="0"/>
        <v>-2.797983207758431E-2</v>
      </c>
      <c r="V11" s="39">
        <f t="shared" si="0"/>
        <v>4.977466622231394E-2</v>
      </c>
      <c r="W11" s="39">
        <f t="shared" si="0"/>
        <v>9.4802630249995135E-2</v>
      </c>
      <c r="X11" s="39">
        <f t="shared" si="0"/>
        <v>-9.2336180142793101E-2</v>
      </c>
      <c r="Y11" s="39">
        <f t="shared" si="0"/>
        <v>-0.19908348903913997</v>
      </c>
      <c r="Z11" s="39">
        <f t="shared" si="0"/>
        <v>-8.0618206111055579E-2</v>
      </c>
      <c r="AA11" s="39">
        <f t="shared" si="0"/>
        <v>-0.27024250889672546</v>
      </c>
      <c r="AB11" s="39">
        <f t="shared" si="0"/>
        <v>-0.26774114762279594</v>
      </c>
      <c r="AC11" s="39">
        <f t="shared" si="0"/>
        <v>-0.31974935022224649</v>
      </c>
      <c r="AD11" s="39">
        <f t="shared" si="0"/>
        <v>-0.35299863132361686</v>
      </c>
      <c r="AE11" s="39">
        <f t="shared" si="0"/>
        <v>-0.43363160900530434</v>
      </c>
      <c r="AF11" s="39">
        <f t="shared" si="0"/>
        <v>-0.39791114348474282</v>
      </c>
      <c r="AG11" s="39">
        <f t="shared" si="0"/>
        <v>-0.26563679351472602</v>
      </c>
      <c r="AH11" s="39">
        <f t="shared" si="0"/>
        <v>-0.28332151958166835</v>
      </c>
      <c r="AI11" s="39">
        <f t="shared" si="0"/>
        <v>-0.26315983035715923</v>
      </c>
      <c r="AJ11" s="38">
        <f t="shared" si="0"/>
        <v>-0.39898707269052669</v>
      </c>
    </row>
    <row r="12" spans="2:36" ht="24" customHeight="1">
      <c r="B12" s="64" t="s">
        <v>74</v>
      </c>
      <c r="C12" s="141">
        <v>21.914224242916294</v>
      </c>
      <c r="D12" s="142">
        <v>14.062506951395841</v>
      </c>
      <c r="E12" s="142">
        <v>12.56711097045628</v>
      </c>
      <c r="F12" s="142">
        <v>12.98796943728861</v>
      </c>
      <c r="G12" s="143">
        <v>14.069832402234637</v>
      </c>
    </row>
    <row r="13" spans="2:36" ht="24" customHeight="1" thickBot="1">
      <c r="B13" s="65" t="s">
        <v>73</v>
      </c>
      <c r="C13" s="144">
        <v>23.194755677447407</v>
      </c>
      <c r="D13" s="145">
        <v>20.132655885492863</v>
      </c>
      <c r="E13" s="145">
        <v>19.825747657111357</v>
      </c>
      <c r="F13" s="145">
        <v>18.811625002027807</v>
      </c>
      <c r="G13" s="146">
        <v>17.494239631336406</v>
      </c>
    </row>
    <row r="14" spans="2:36" ht="24" customHeight="1" thickBot="1"/>
    <row r="15" spans="2:36" ht="24" customHeight="1" thickBot="1">
      <c r="B15" s="51"/>
      <c r="C15" s="50">
        <v>2021</v>
      </c>
      <c r="D15" s="50">
        <v>2022</v>
      </c>
      <c r="E15" s="50">
        <v>2023</v>
      </c>
      <c r="F15" s="50">
        <v>2024</v>
      </c>
      <c r="G15" s="49">
        <v>2025</v>
      </c>
      <c r="J15" s="228" t="s">
        <v>59</v>
      </c>
      <c r="K15" s="229"/>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3</v>
      </c>
      <c r="D16" s="84">
        <v>4</v>
      </c>
      <c r="E16" s="84">
        <v>6</v>
      </c>
      <c r="F16" s="84">
        <v>5</v>
      </c>
      <c r="G16" s="85">
        <v>3</v>
      </c>
      <c r="J16" s="48" t="s">
        <v>81</v>
      </c>
      <c r="K16" s="197" t="s">
        <v>99</v>
      </c>
      <c r="L16" s="42">
        <v>0</v>
      </c>
      <c r="M16" s="147">
        <v>2.0032995522036412E-2</v>
      </c>
      <c r="N16" s="147">
        <v>1.1784115012962726E-3</v>
      </c>
      <c r="O16" s="147">
        <v>-0.21140702333254768</v>
      </c>
      <c r="P16" s="147">
        <v>-0.16780579778458626</v>
      </c>
      <c r="Q16" s="147">
        <v>-0.19868017911854818</v>
      </c>
      <c r="R16" s="147">
        <v>-0.32665566815932123</v>
      </c>
      <c r="S16" s="147">
        <v>-0.20645769502710343</v>
      </c>
      <c r="T16" s="147">
        <v>-0.12868253594155077</v>
      </c>
      <c r="U16" s="147">
        <v>-0.2649069054913975</v>
      </c>
      <c r="V16" s="147">
        <v>-0.21894885694084365</v>
      </c>
      <c r="W16" s="147">
        <v>-0.26302144708932351</v>
      </c>
      <c r="X16" s="147">
        <v>-0.2858826302144708</v>
      </c>
      <c r="Y16" s="147">
        <v>-0.33160499646476538</v>
      </c>
      <c r="Z16" s="147">
        <v>-0.34103228847513534</v>
      </c>
      <c r="AA16" s="147">
        <v>-0.20103700212114051</v>
      </c>
      <c r="AB16" s="147">
        <v>-0.24228140466650938</v>
      </c>
      <c r="AC16" s="147">
        <v>-0.29908083902898874</v>
      </c>
      <c r="AD16" s="147">
        <v>-0.39948149893942952</v>
      </c>
      <c r="AE16" s="147">
        <v>-0.50412444025453684</v>
      </c>
      <c r="AF16" s="147">
        <v>-0.4296488333726135</v>
      </c>
      <c r="AG16" s="147">
        <v>-0.35564459109120872</v>
      </c>
      <c r="AH16" s="147">
        <v>-0.32901249116191345</v>
      </c>
      <c r="AI16" s="147">
        <v>-0.23073297195380593</v>
      </c>
      <c r="AJ16" s="152">
        <v>-0.34480320527928321</v>
      </c>
    </row>
    <row r="17" spans="2:36" ht="24" customHeight="1">
      <c r="B17" s="47" t="s">
        <v>70</v>
      </c>
      <c r="C17" s="84">
        <v>7</v>
      </c>
      <c r="D17" s="84">
        <v>7</v>
      </c>
      <c r="E17" s="84">
        <v>7</v>
      </c>
      <c r="F17" s="84">
        <v>7</v>
      </c>
      <c r="G17" s="85">
        <v>7</v>
      </c>
      <c r="J17" s="43" t="s">
        <v>81</v>
      </c>
      <c r="K17" s="198" t="s">
        <v>100</v>
      </c>
      <c r="L17" s="45">
        <v>0</v>
      </c>
      <c r="M17" s="147">
        <v>-6.2403033959662069E-2</v>
      </c>
      <c r="N17" s="147">
        <v>-0.16807446991897945</v>
      </c>
      <c r="O17" s="147">
        <v>-0.30960179279434574</v>
      </c>
      <c r="P17" s="147">
        <v>-0.23582141010170654</v>
      </c>
      <c r="Q17" s="147">
        <v>-0.24909498362351312</v>
      </c>
      <c r="R17" s="147">
        <v>-0.32511635924840543</v>
      </c>
      <c r="S17" s="147">
        <v>-0.23358041716945344</v>
      </c>
      <c r="T17" s="147">
        <v>-0.18220996379934495</v>
      </c>
      <c r="U17" s="147">
        <v>-0.25978279606964327</v>
      </c>
      <c r="V17" s="147">
        <v>-0.11498017583175313</v>
      </c>
      <c r="W17" s="147">
        <v>-0.17548698500258586</v>
      </c>
      <c r="X17" s="147">
        <v>-0.27667643509739703</v>
      </c>
      <c r="Y17" s="147">
        <v>-0.25081882434063096</v>
      </c>
      <c r="Z17" s="147">
        <v>-0.22547836579900027</v>
      </c>
      <c r="AA17" s="147">
        <v>-8.3261506636786886E-2</v>
      </c>
      <c r="AB17" s="147">
        <v>-0.1616962592656439</v>
      </c>
      <c r="AC17" s="147">
        <v>-0.27650405102568532</v>
      </c>
      <c r="AD17" s="147">
        <v>-0.36079986209274273</v>
      </c>
      <c r="AE17" s="147">
        <v>-0.45474918117565943</v>
      </c>
      <c r="AF17" s="147">
        <v>-0.34821582485778313</v>
      </c>
      <c r="AG17" s="147">
        <v>-0.32649543182209972</v>
      </c>
      <c r="AH17" s="147">
        <v>-0.38234787105671453</v>
      </c>
      <c r="AI17" s="147">
        <v>-0.35545595586967771</v>
      </c>
      <c r="AJ17" s="152">
        <v>-0.25892087571108435</v>
      </c>
    </row>
    <row r="18" spans="2:36" ht="24" customHeight="1">
      <c r="B18" s="47" t="s">
        <v>71</v>
      </c>
      <c r="C18" s="86">
        <v>1</v>
      </c>
      <c r="D18" s="86">
        <v>1</v>
      </c>
      <c r="E18" s="86">
        <v>1</v>
      </c>
      <c r="F18" s="86">
        <v>1</v>
      </c>
      <c r="G18" s="87">
        <v>1</v>
      </c>
      <c r="J18" s="44" t="s">
        <v>82</v>
      </c>
      <c r="K18" s="199" t="s">
        <v>99</v>
      </c>
      <c r="L18" s="46">
        <v>0</v>
      </c>
      <c r="M18" s="147">
        <v>-6.4026402640264046E-2</v>
      </c>
      <c r="N18" s="147">
        <v>-7.7227722772277185E-2</v>
      </c>
      <c r="O18" s="147">
        <v>0.11881188118811892</v>
      </c>
      <c r="P18" s="147">
        <v>6.1056105610561184E-2</v>
      </c>
      <c r="Q18" s="147">
        <v>-1.848184818481835E-2</v>
      </c>
      <c r="R18" s="147">
        <v>-0.15907590759075896</v>
      </c>
      <c r="S18" s="147">
        <v>-0.30561056105610551</v>
      </c>
      <c r="T18" s="147">
        <v>-0.20132013201320109</v>
      </c>
      <c r="U18" s="147">
        <v>-9.7689768976897406E-2</v>
      </c>
      <c r="V18" s="147">
        <v>-6.0396039603960117E-2</v>
      </c>
      <c r="W18" s="147">
        <v>7.7227722772277518E-2</v>
      </c>
      <c r="X18" s="147">
        <v>-8.2508250825082285E-2</v>
      </c>
      <c r="Y18" s="147">
        <v>-0.18052805280528039</v>
      </c>
      <c r="Z18" s="147">
        <v>-0.15181518151815154</v>
      </c>
      <c r="AA18" s="147">
        <v>-9.6039603960395792E-2</v>
      </c>
      <c r="AB18" s="147">
        <v>-0.14356435643564336</v>
      </c>
      <c r="AC18" s="147">
        <v>-8.0528052805280192E-2</v>
      </c>
      <c r="AD18" s="147">
        <v>-5.77557755775574E-2</v>
      </c>
      <c r="AE18" s="147">
        <v>-2.1782178217821357E-2</v>
      </c>
      <c r="AF18" s="147">
        <v>3.5313531353135641E-2</v>
      </c>
      <c r="AG18" s="147">
        <v>7.5577557755776015E-2</v>
      </c>
      <c r="AH18" s="147">
        <v>-1.2541254125412182E-2</v>
      </c>
      <c r="AI18" s="147">
        <v>-9.9009900990065791E-4</v>
      </c>
      <c r="AJ18" s="152">
        <v>7.9867986798680013E-2</v>
      </c>
    </row>
    <row r="19" spans="2:36" ht="24" customHeight="1">
      <c r="B19" s="47" t="s">
        <v>72</v>
      </c>
      <c r="C19" s="86">
        <v>6</v>
      </c>
      <c r="D19" s="86">
        <v>3</v>
      </c>
      <c r="E19" s="86">
        <v>5</v>
      </c>
      <c r="F19" s="86">
        <v>2</v>
      </c>
      <c r="G19" s="87">
        <v>2</v>
      </c>
      <c r="J19" s="43" t="s">
        <v>82</v>
      </c>
      <c r="K19" s="198" t="s">
        <v>102</v>
      </c>
      <c r="L19" s="45">
        <v>0</v>
      </c>
      <c r="M19" s="147">
        <v>-1.7460787215152318E-2</v>
      </c>
      <c r="N19" s="147">
        <v>4.0248594258656345E-2</v>
      </c>
      <c r="O19" s="147">
        <v>0.36134951168984908</v>
      </c>
      <c r="P19" s="147">
        <v>0.32465226398342706</v>
      </c>
      <c r="Q19" s="147">
        <v>0.23054158034921568</v>
      </c>
      <c r="R19" s="147">
        <v>6.1852619118082375E-2</v>
      </c>
      <c r="S19" s="147">
        <v>-0.10328499556081672</v>
      </c>
      <c r="T19" s="147">
        <v>6.2740455756140845E-2</v>
      </c>
      <c r="U19" s="147">
        <v>0.15773897602841069</v>
      </c>
      <c r="V19" s="147">
        <v>0.12636874815034038</v>
      </c>
      <c r="W19" s="147">
        <v>0.21633619414027816</v>
      </c>
      <c r="X19" s="147">
        <v>0.38088191772713809</v>
      </c>
      <c r="Y19" s="147">
        <v>0.44421426457531821</v>
      </c>
      <c r="Z19" s="147">
        <v>0.47173720035513478</v>
      </c>
      <c r="AA19" s="147">
        <v>0.3711157147084938</v>
      </c>
      <c r="AB19" s="147">
        <v>0.24326723882805568</v>
      </c>
      <c r="AC19" s="147">
        <v>0.23231725362533306</v>
      </c>
      <c r="AD19" s="147">
        <v>0.47292098253921311</v>
      </c>
      <c r="AE19" s="147">
        <v>0.65936667653151848</v>
      </c>
      <c r="AF19" s="147">
        <v>0.85646641018052705</v>
      </c>
      <c r="AG19" s="147">
        <v>0.75969221663214026</v>
      </c>
      <c r="AH19" s="147">
        <v>0.95679195028114905</v>
      </c>
      <c r="AI19" s="147">
        <v>0.74874223142941765</v>
      </c>
      <c r="AJ19" s="152">
        <v>0.27138206569991175</v>
      </c>
    </row>
    <row r="20" spans="2:36" ht="24" customHeight="1">
      <c r="B20" s="63" t="s">
        <v>75</v>
      </c>
      <c r="C20" s="88">
        <v>2</v>
      </c>
      <c r="D20" s="89">
        <v>2</v>
      </c>
      <c r="E20" s="89">
        <v>3</v>
      </c>
      <c r="F20" s="89">
        <v>4</v>
      </c>
      <c r="G20" s="90">
        <v>6</v>
      </c>
      <c r="J20" s="44" t="s">
        <v>83</v>
      </c>
      <c r="K20" s="199" t="s">
        <v>99</v>
      </c>
      <c r="L20" s="46">
        <v>0</v>
      </c>
      <c r="M20" s="147">
        <v>-0.10683453237410079</v>
      </c>
      <c r="N20" s="147">
        <v>-7.5539568345323715E-2</v>
      </c>
      <c r="O20" s="147">
        <v>-1.4748201438848918E-2</v>
      </c>
      <c r="P20" s="147">
        <v>-6.6546762589928088E-2</v>
      </c>
      <c r="Q20" s="147">
        <v>2.1582733812950394E-3</v>
      </c>
      <c r="R20" s="147">
        <v>2.6978417266187105E-2</v>
      </c>
      <c r="S20" s="147">
        <v>6.6187050359712396E-2</v>
      </c>
      <c r="T20" s="147">
        <v>0.12841726618705041</v>
      </c>
      <c r="U20" s="147">
        <v>0.17230215827338147</v>
      </c>
      <c r="V20" s="147">
        <v>7.6258992805755543E-2</v>
      </c>
      <c r="W20" s="147">
        <v>8.8848920863309422E-2</v>
      </c>
      <c r="X20" s="147">
        <v>0.17697841726618702</v>
      </c>
      <c r="Y20" s="147">
        <v>-1.4028776978417201E-2</v>
      </c>
      <c r="Z20" s="147">
        <v>0.17697841726618702</v>
      </c>
      <c r="AA20" s="147">
        <v>0.14388489208633093</v>
      </c>
      <c r="AB20" s="147">
        <v>9.676258992805753E-2</v>
      </c>
      <c r="AC20" s="147">
        <v>0.16654676258992795</v>
      </c>
      <c r="AD20" s="147">
        <v>0.13165467625899274</v>
      </c>
      <c r="AE20" s="147">
        <v>8.0575539568345178E-2</v>
      </c>
      <c r="AF20" s="147">
        <v>0.24136690647481984</v>
      </c>
      <c r="AG20" s="147">
        <v>0.47374100719424428</v>
      </c>
      <c r="AH20" s="147">
        <v>0.70215827338129477</v>
      </c>
      <c r="AI20" s="147">
        <v>0.76438848920863278</v>
      </c>
      <c r="AJ20" s="152">
        <v>0.34568345323740979</v>
      </c>
    </row>
    <row r="21" spans="2:36" ht="24" customHeight="1">
      <c r="B21" s="47" t="s">
        <v>76</v>
      </c>
      <c r="C21" s="91">
        <v>8</v>
      </c>
      <c r="D21" s="91">
        <v>6</v>
      </c>
      <c r="E21" s="84">
        <v>2</v>
      </c>
      <c r="F21" s="84">
        <v>6</v>
      </c>
      <c r="G21" s="85">
        <v>5</v>
      </c>
      <c r="J21" s="43" t="s">
        <v>83</v>
      </c>
      <c r="K21" s="198" t="s">
        <v>102</v>
      </c>
      <c r="L21" s="45">
        <v>0</v>
      </c>
      <c r="M21" s="147">
        <v>4.5863694813544909E-2</v>
      </c>
      <c r="N21" s="147">
        <v>6.5795113587655552E-2</v>
      </c>
      <c r="O21" s="147">
        <v>-7.0724389198455473E-3</v>
      </c>
      <c r="P21" s="147">
        <v>-9.9657093870552882E-2</v>
      </c>
      <c r="Q21" s="147">
        <v>-0.10758679811401617</v>
      </c>
      <c r="R21" s="147">
        <v>6.6652378911273402E-2</v>
      </c>
      <c r="S21" s="147">
        <v>0.2016716673810548</v>
      </c>
      <c r="T21" s="147">
        <v>0.34440634376339507</v>
      </c>
      <c r="U21" s="147">
        <v>0.2743249035576516</v>
      </c>
      <c r="V21" s="147">
        <v>0.4170595799399921</v>
      </c>
      <c r="W21" s="147">
        <v>0.26639519931418842</v>
      </c>
      <c r="X21" s="147">
        <v>-7.9297042434632981E-2</v>
      </c>
      <c r="Y21" s="147">
        <v>-0.12087441063008952</v>
      </c>
      <c r="Z21" s="147">
        <v>2.1860265752250863E-2</v>
      </c>
      <c r="AA21" s="147">
        <v>4.1577368195456987E-2</v>
      </c>
      <c r="AB21" s="147">
        <v>0.12687526789541415</v>
      </c>
      <c r="AC21" s="147">
        <v>0.31290184312044644</v>
      </c>
      <c r="AD21" s="147">
        <v>0.20595799399914339</v>
      </c>
      <c r="AE21" s="147">
        <v>0.21945992284612137</v>
      </c>
      <c r="AF21" s="147">
        <v>0.36648092584655001</v>
      </c>
      <c r="AG21" s="147">
        <v>0.47942563223317691</v>
      </c>
      <c r="AH21" s="147">
        <v>0.40462923274753626</v>
      </c>
      <c r="AI21" s="147">
        <v>0.40055722246035197</v>
      </c>
      <c r="AJ21" s="152">
        <v>0.42091727389627143</v>
      </c>
    </row>
    <row r="22" spans="2:36" ht="24" customHeight="1">
      <c r="B22" s="64" t="s">
        <v>74</v>
      </c>
      <c r="C22" s="92">
        <v>4</v>
      </c>
      <c r="D22" s="92">
        <v>5</v>
      </c>
      <c r="E22" s="92">
        <v>4</v>
      </c>
      <c r="F22" s="92">
        <v>3</v>
      </c>
      <c r="G22" s="93">
        <v>4</v>
      </c>
      <c r="J22" s="44" t="s">
        <v>84</v>
      </c>
      <c r="K22" s="197" t="s">
        <v>99</v>
      </c>
      <c r="L22" s="42">
        <v>0</v>
      </c>
      <c r="M22" s="147">
        <v>-0.16228606356968212</v>
      </c>
      <c r="N22" s="147">
        <v>0</v>
      </c>
      <c r="O22" s="147">
        <v>-2.8117359413202925E-2</v>
      </c>
      <c r="P22" s="147">
        <v>-6.8154034229828908E-2</v>
      </c>
      <c r="Q22" s="147">
        <v>-8.8630806845966248E-3</v>
      </c>
      <c r="R22" s="147">
        <v>-3.8508557457212711E-2</v>
      </c>
      <c r="S22" s="147">
        <v>-8.1907090464547694E-2</v>
      </c>
      <c r="T22" s="147">
        <v>5.4706601466992577E-2</v>
      </c>
      <c r="U22" s="147">
        <v>0.2521393643031784</v>
      </c>
      <c r="V22" s="147">
        <v>0.44621026894865534</v>
      </c>
      <c r="W22" s="147">
        <v>0.49908312958435208</v>
      </c>
      <c r="X22" s="147">
        <v>0.14333740831295838</v>
      </c>
      <c r="Y22" s="147">
        <v>0.15892420537897323</v>
      </c>
      <c r="Z22" s="147">
        <v>0.3126528117359415</v>
      </c>
      <c r="AJ22" s="41"/>
    </row>
    <row r="23" spans="2:36" ht="24" customHeight="1" thickBot="1">
      <c r="B23" s="65" t="s">
        <v>73</v>
      </c>
      <c r="C23" s="94">
        <v>5</v>
      </c>
      <c r="D23" s="94">
        <v>8</v>
      </c>
      <c r="E23" s="94">
        <v>8</v>
      </c>
      <c r="F23" s="94">
        <v>8</v>
      </c>
      <c r="G23" s="95">
        <v>8</v>
      </c>
      <c r="J23" s="43" t="s">
        <v>84</v>
      </c>
      <c r="K23" s="197" t="s">
        <v>102</v>
      </c>
      <c r="L23" s="42">
        <v>0</v>
      </c>
      <c r="M23" s="147">
        <v>-4.5158286778398504E-2</v>
      </c>
      <c r="N23" s="147">
        <v>0.10986964618249528</v>
      </c>
      <c r="O23" s="147">
        <v>0.13128491620111715</v>
      </c>
      <c r="P23" s="147">
        <v>0.22392923649906882</v>
      </c>
      <c r="Q23" s="147">
        <v>0.42597765363128492</v>
      </c>
      <c r="R23" s="147">
        <v>0.30982309124767227</v>
      </c>
      <c r="S23" s="147">
        <v>0.32448789571694592</v>
      </c>
      <c r="T23" s="147">
        <v>0.48417132216014891</v>
      </c>
      <c r="U23" s="147">
        <v>0.60684357541899447</v>
      </c>
      <c r="V23" s="147">
        <v>0.52560521415270034</v>
      </c>
      <c r="W23" s="147">
        <v>0.52118249534450634</v>
      </c>
      <c r="X23" s="147">
        <v>0.54329608938547458</v>
      </c>
      <c r="Y23" s="147">
        <v>0.57844506517690863</v>
      </c>
      <c r="Z23" s="147">
        <v>0.89897579143389184</v>
      </c>
      <c r="AA23" s="153"/>
      <c r="AB23" s="153"/>
      <c r="AC23" s="153"/>
      <c r="AD23" s="153"/>
      <c r="AE23" s="153"/>
      <c r="AF23" s="153"/>
      <c r="AG23" s="153"/>
      <c r="AH23" s="153"/>
      <c r="AI23" s="153"/>
      <c r="AJ23" s="154"/>
    </row>
    <row r="24" spans="2:36" ht="24" customHeight="1" thickBot="1">
      <c r="J24" s="216" t="s">
        <v>58</v>
      </c>
      <c r="K24" s="217"/>
      <c r="L24" s="40">
        <v>0</v>
      </c>
      <c r="M24" s="39">
        <f>AVERAGE(M16:M23)</f>
        <v>-4.9034052025209815E-2</v>
      </c>
      <c r="N24" s="39">
        <f t="shared" ref="N24:AJ24" si="1">AVERAGE(N16:N23)</f>
        <v>-1.2968749438309612E-2</v>
      </c>
      <c r="O24" s="39">
        <f t="shared" si="1"/>
        <v>5.0624366475367916E-3</v>
      </c>
      <c r="P24" s="39">
        <f t="shared" si="1"/>
        <v>-3.5434365604432028E-3</v>
      </c>
      <c r="Q24" s="39">
        <f t="shared" si="1"/>
        <v>9.4963272045378994E-3</v>
      </c>
      <c r="R24" s="39">
        <f t="shared" si="1"/>
        <v>-4.8006248239060398E-2</v>
      </c>
      <c r="S24" s="39">
        <f t="shared" si="1"/>
        <v>-4.2311768227539209E-2</v>
      </c>
      <c r="T24" s="39">
        <f t="shared" si="1"/>
        <v>7.0278669697453874E-2</v>
      </c>
      <c r="U24" s="39">
        <f t="shared" si="1"/>
        <v>0.10512118838045981</v>
      </c>
      <c r="V24" s="39">
        <f t="shared" si="1"/>
        <v>0.14964721645261087</v>
      </c>
      <c r="W24" s="39">
        <f t="shared" si="1"/>
        <v>0.15382065374087533</v>
      </c>
      <c r="X24" s="39">
        <f t="shared" si="1"/>
        <v>6.501618426502187E-2</v>
      </c>
      <c r="Y24" s="39">
        <f t="shared" si="1"/>
        <v>3.5466059239002076E-2</v>
      </c>
      <c r="Z24" s="39">
        <f t="shared" si="1"/>
        <v>0.14548483134388984</v>
      </c>
      <c r="AA24" s="39">
        <f t="shared" si="1"/>
        <v>2.9373310378659756E-2</v>
      </c>
      <c r="AB24" s="39">
        <f t="shared" si="1"/>
        <v>-1.3439487286044882E-2</v>
      </c>
      <c r="AC24" s="39">
        <f t="shared" si="1"/>
        <v>9.2754860792922025E-3</v>
      </c>
      <c r="AD24" s="39">
        <f t="shared" si="1"/>
        <v>-1.2505806353967364E-3</v>
      </c>
      <c r="AE24" s="39">
        <f t="shared" si="1"/>
        <v>-3.5422767836721012E-3</v>
      </c>
      <c r="AF24" s="39">
        <f t="shared" si="1"/>
        <v>0.12029385260410598</v>
      </c>
      <c r="AG24" s="39">
        <f t="shared" si="1"/>
        <v>0.18438273181700482</v>
      </c>
      <c r="AH24" s="39">
        <f t="shared" si="1"/>
        <v>0.22327964001098999</v>
      </c>
      <c r="AI24" s="39">
        <f t="shared" si="1"/>
        <v>0.22108481937750302</v>
      </c>
      <c r="AJ24" s="38">
        <f t="shared" si="1"/>
        <v>8.5687783106984231E-2</v>
      </c>
    </row>
    <row r="25" spans="2:36" ht="22.05" customHeigh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30" hidden="1"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1.05" hidden="1" customHeight="1">
      <c r="J27" s="206" t="s">
        <v>91</v>
      </c>
      <c r="K27" s="207"/>
      <c r="L27" s="158">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52">
        <v>0.15979569178065556</v>
      </c>
    </row>
    <row r="28" spans="2:36" ht="1.05" hidden="1"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0.38842044041457058</v>
      </c>
      <c r="AF28" s="147">
        <v>0.46797880909447076</v>
      </c>
      <c r="AG28" s="147">
        <v>0.43129381818358792</v>
      </c>
      <c r="AH28" s="147">
        <v>0.46996211042729796</v>
      </c>
      <c r="AI28" s="147">
        <v>0.44902672224777396</v>
      </c>
      <c r="AJ28" s="152">
        <v>0.36564289381915693</v>
      </c>
    </row>
    <row r="29" spans="2:36" ht="1.05" hidden="1"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52">
        <v>0.24249812060483178</v>
      </c>
    </row>
    <row r="30" spans="2:36" ht="1.05" hidden="1"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1.05" hidden="1"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0.20531230398190772</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8" spans="10:36" ht="35.25" hidden="1" thickBot="1">
      <c r="J68" s="204" t="s">
        <v>90</v>
      </c>
      <c r="K68" s="20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hidden="1">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hidden="1">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hidden="1">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7.25" hidden="1"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7.25" hidden="1"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J24:K24"/>
    <mergeCell ref="F1:H1"/>
    <mergeCell ref="B2:D3"/>
    <mergeCell ref="J2:K2"/>
    <mergeCell ref="J11:K11"/>
    <mergeCell ref="J15:K15"/>
    <mergeCell ref="J73:K73"/>
    <mergeCell ref="J26:K26"/>
    <mergeCell ref="J27:K27"/>
    <mergeCell ref="J28:K28"/>
    <mergeCell ref="J29:K29"/>
    <mergeCell ref="J30:K30"/>
    <mergeCell ref="J31:K31"/>
    <mergeCell ref="J68:K68"/>
    <mergeCell ref="J69:K69"/>
    <mergeCell ref="J70:K70"/>
    <mergeCell ref="J71:K71"/>
    <mergeCell ref="J72:K72"/>
  </mergeCells>
  <phoneticPr fontId="13" type="noConversion"/>
  <conditionalFormatting sqref="C16:G23">
    <cfRule type="cellIs" dxfId="159" priority="6" operator="between">
      <formula>7</formula>
      <formula>8</formula>
    </cfRule>
    <cfRule type="cellIs" dxfId="158" priority="7" operator="between">
      <formula>1</formula>
      <formula>2</formula>
    </cfRule>
  </conditionalFormatting>
  <conditionalFormatting sqref="F3">
    <cfRule type="cellIs" dxfId="157" priority="2" operator="equal">
      <formula>"GOOD"</formula>
    </cfRule>
    <cfRule type="cellIs" dxfId="156" priority="4" operator="equal">
      <formula>"GOOD"</formula>
    </cfRule>
    <cfRule type="top10" dxfId="155" priority="5" percent="1" rank="10"/>
  </conditionalFormatting>
  <conditionalFormatting sqref="G3">
    <cfRule type="cellIs" dxfId="154" priority="1" operator="equal">
      <formula>"BAD"</formula>
    </cfRule>
    <cfRule type="cellIs" dxfId="153" priority="3" operator="equal">
      <formula>"BAD"</formula>
    </cfRule>
  </conditionalFormatting>
  <pageMargins left="0.7" right="0.7" top="0.75" bottom="0.75" header="0.3" footer="0.3"/>
  <pageSetup paperSize="9" orientation="portrait" horizontalDpi="360" verticalDpi="36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5260C-79CE-514C-8F0B-1795D42579C2}">
  <dimension ref="B1:AJ73"/>
  <sheetViews>
    <sheetView topLeftCell="A12" zoomScale="55" zoomScaleNormal="55" workbookViewId="0">
      <selection activeCell="AE81" sqref="AE81"/>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18"/>
      <c r="G1" s="219"/>
      <c r="H1" s="219"/>
    </row>
    <row r="2" spans="2:36" ht="24" customHeight="1" thickBot="1">
      <c r="B2" s="240" t="s">
        <v>103</v>
      </c>
      <c r="C2" s="241"/>
      <c r="D2" s="242"/>
      <c r="J2" s="226" t="s">
        <v>60</v>
      </c>
      <c r="K2" s="227"/>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43"/>
      <c r="C3" s="244"/>
      <c r="D3" s="245"/>
      <c r="F3" s="188" t="s">
        <v>130</v>
      </c>
      <c r="G3" s="189" t="s">
        <v>129</v>
      </c>
      <c r="J3" s="48" t="s">
        <v>81</v>
      </c>
      <c r="K3" s="190" t="s">
        <v>98</v>
      </c>
      <c r="L3" s="42">
        <v>0</v>
      </c>
      <c r="M3" s="147">
        <v>-6.3548102383053862E-2</v>
      </c>
      <c r="N3" s="147">
        <v>-5.1191526919682206E-2</v>
      </c>
      <c r="O3" s="147">
        <v>-0.17299205648720217</v>
      </c>
      <c r="P3" s="147">
        <v>0.27802294792586069</v>
      </c>
      <c r="Q3" s="147">
        <v>0.13857016769638153</v>
      </c>
      <c r="R3" s="147">
        <v>-0.14386584289496906</v>
      </c>
      <c r="S3" s="147">
        <v>0.15710503089143879</v>
      </c>
      <c r="T3" s="147">
        <v>0.15092674315975296</v>
      </c>
      <c r="U3" s="147">
        <v>-9.3556928508384707E-2</v>
      </c>
      <c r="V3" s="147">
        <v>0.1103265666372466</v>
      </c>
      <c r="W3" s="147">
        <v>3.7952338923213036E-2</v>
      </c>
      <c r="X3" s="147">
        <v>-0.13150926743159719</v>
      </c>
      <c r="Y3" s="147">
        <v>-0.1624007060900261</v>
      </c>
      <c r="Z3" s="147">
        <v>-0.27360988526037033</v>
      </c>
      <c r="AA3" s="147">
        <v>-0.14651368049426261</v>
      </c>
      <c r="AB3" s="147">
        <v>-0.17917034421888745</v>
      </c>
      <c r="AC3" s="147">
        <v>-0.44571932921447455</v>
      </c>
      <c r="AD3" s="147">
        <v>-0.57281553398058227</v>
      </c>
      <c r="AE3" s="147">
        <v>-0.70079435127978806</v>
      </c>
      <c r="AF3" s="147">
        <v>-0.6548984995586935</v>
      </c>
      <c r="AG3" s="147">
        <v>-0.51809355692850811</v>
      </c>
      <c r="AH3" s="147">
        <v>-0.57016769638128828</v>
      </c>
      <c r="AI3" s="147">
        <v>-0.38746690203000833</v>
      </c>
      <c r="AJ3" s="152">
        <v>-0.28420123565754574</v>
      </c>
    </row>
    <row r="4" spans="2:36" ht="24" customHeight="1" thickBot="1">
      <c r="J4" s="43" t="s">
        <v>81</v>
      </c>
      <c r="K4" s="191" t="s">
        <v>100</v>
      </c>
      <c r="L4" s="45">
        <v>0</v>
      </c>
      <c r="M4" s="147">
        <v>-6.2403033959662069E-2</v>
      </c>
      <c r="N4" s="147">
        <v>-0.16807446991897945</v>
      </c>
      <c r="O4" s="147">
        <v>-0.30960179279434574</v>
      </c>
      <c r="P4" s="147">
        <v>-0.23582141010170654</v>
      </c>
      <c r="Q4" s="147">
        <v>-0.24909498362351312</v>
      </c>
      <c r="R4" s="147">
        <v>-0.32511635924840543</v>
      </c>
      <c r="S4" s="147">
        <v>-0.23358041716945344</v>
      </c>
      <c r="T4" s="147">
        <v>-0.18220996379934495</v>
      </c>
      <c r="U4" s="147">
        <v>-0.25978279606964327</v>
      </c>
      <c r="V4" s="147">
        <v>-0.11498017583175313</v>
      </c>
      <c r="W4" s="147">
        <v>-0.17548698500258586</v>
      </c>
      <c r="X4" s="147">
        <v>-0.27667643509739703</v>
      </c>
      <c r="Y4" s="147">
        <v>-0.25081882434063096</v>
      </c>
      <c r="Z4" s="147">
        <v>-0.22547836579900027</v>
      </c>
      <c r="AA4" s="147">
        <v>-8.3261506636786886E-2</v>
      </c>
      <c r="AB4" s="147">
        <v>-0.1616962592656439</v>
      </c>
      <c r="AC4" s="147">
        <v>-0.27650405102568532</v>
      </c>
      <c r="AD4" s="147">
        <v>-0.36079986209274273</v>
      </c>
      <c r="AE4" s="147">
        <v>-0.45474918117565943</v>
      </c>
      <c r="AF4" s="147">
        <v>-0.34821582485778313</v>
      </c>
      <c r="AG4" s="147">
        <v>-0.32649543182209972</v>
      </c>
      <c r="AH4" s="147">
        <v>-0.38234787105671453</v>
      </c>
      <c r="AI4" s="147">
        <v>-0.35545595586967771</v>
      </c>
      <c r="AJ4" s="152">
        <v>-0.25892087571108435</v>
      </c>
    </row>
    <row r="5" spans="2:36" ht="24" customHeight="1">
      <c r="B5" s="51"/>
      <c r="C5" s="50">
        <v>2021</v>
      </c>
      <c r="D5" s="50">
        <v>2022</v>
      </c>
      <c r="E5" s="50">
        <v>2023</v>
      </c>
      <c r="F5" s="50">
        <v>2024</v>
      </c>
      <c r="G5" s="49">
        <v>2025</v>
      </c>
      <c r="J5" s="44" t="s">
        <v>82</v>
      </c>
      <c r="K5" s="192" t="s">
        <v>97</v>
      </c>
      <c r="L5" s="46">
        <v>0</v>
      </c>
      <c r="M5" s="147">
        <v>-1.9230769230769273E-2</v>
      </c>
      <c r="N5" s="147">
        <v>-6.1813186813186816E-2</v>
      </c>
      <c r="O5" s="147">
        <v>0.21703296703296693</v>
      </c>
      <c r="P5" s="147">
        <v>6.7307692307692291E-2</v>
      </c>
      <c r="Q5" s="147">
        <v>-0.1868131868131867</v>
      </c>
      <c r="R5" s="147">
        <v>-0.36813186813186805</v>
      </c>
      <c r="S5" s="147">
        <v>-0.48351648351648346</v>
      </c>
      <c r="T5" s="147">
        <v>-0.39285714285714279</v>
      </c>
      <c r="U5" s="147">
        <v>-0.23763736263736257</v>
      </c>
      <c r="V5" s="147">
        <v>-0.27060439560439553</v>
      </c>
      <c r="W5" s="147">
        <v>-0.10989010989010972</v>
      </c>
      <c r="X5" s="147">
        <v>1.9230769230769384E-2</v>
      </c>
      <c r="Y5" s="147">
        <v>-0.21978021978021967</v>
      </c>
      <c r="Z5" s="147">
        <v>-0.23214285714285698</v>
      </c>
      <c r="AA5" s="147">
        <v>-0.16346153846153832</v>
      </c>
      <c r="AB5" s="147">
        <v>-0.11950549450549419</v>
      </c>
      <c r="AC5" s="147">
        <v>-0.30219780219780201</v>
      </c>
      <c r="AD5" s="147">
        <v>-9.8901098901098661E-2</v>
      </c>
      <c r="AE5" s="147">
        <v>-0.21703296703296671</v>
      </c>
      <c r="AF5" s="147">
        <v>-0.17994505494505464</v>
      </c>
      <c r="AG5" s="147">
        <v>7.9670329670330275E-2</v>
      </c>
      <c r="AH5" s="147">
        <v>-9.6153846153845701E-2</v>
      </c>
      <c r="AI5" s="147">
        <v>-0.10439560439560402</v>
      </c>
      <c r="AJ5" s="152">
        <v>-0.3379120879120876</v>
      </c>
    </row>
    <row r="6" spans="2:36" ht="24" customHeight="1">
      <c r="B6" s="47" t="s">
        <v>69</v>
      </c>
      <c r="C6" s="138">
        <v>18.141893872764584</v>
      </c>
      <c r="D6" s="139">
        <v>23.251840942562591</v>
      </c>
      <c r="E6" s="139">
        <v>21.266937379782004</v>
      </c>
      <c r="F6" s="139">
        <v>20.483128225486304</v>
      </c>
      <c r="G6" s="140">
        <v>19.582320441988951</v>
      </c>
      <c r="H6" s="1"/>
      <c r="J6" s="43" t="s">
        <v>82</v>
      </c>
      <c r="K6" s="191" t="s">
        <v>100</v>
      </c>
      <c r="L6" s="45">
        <v>0</v>
      </c>
      <c r="M6" s="147">
        <v>3.5748331744518601E-2</v>
      </c>
      <c r="N6" s="147">
        <v>7.0781696854146814E-2</v>
      </c>
      <c r="O6" s="147">
        <v>0.26739752144899898</v>
      </c>
      <c r="P6" s="147">
        <v>0.15896091515729283</v>
      </c>
      <c r="Q6" s="147">
        <v>2.3832221163022638E-4</v>
      </c>
      <c r="R6" s="147">
        <v>-0.1163012392755004</v>
      </c>
      <c r="S6" s="147">
        <v>-0.24618684461391793</v>
      </c>
      <c r="T6" s="147">
        <v>-9.8903717826501203E-2</v>
      </c>
      <c r="U6" s="147">
        <v>-6.8875119161105669E-2</v>
      </c>
      <c r="V6" s="147">
        <v>-0.14609151572926593</v>
      </c>
      <c r="W6" s="147">
        <v>-0.10891325071496649</v>
      </c>
      <c r="X6" s="147">
        <v>2.4547187797902881E-2</v>
      </c>
      <c r="Y6" s="147">
        <v>2.5262154432793116E-2</v>
      </c>
      <c r="Z6" s="147">
        <v>1.4299332697806921E-3</v>
      </c>
      <c r="AA6" s="147">
        <v>-3.7178265014299439E-2</v>
      </c>
      <c r="AB6" s="147">
        <v>-0.10557673975214499</v>
      </c>
      <c r="AC6" s="147">
        <v>-0.13941849380362259</v>
      </c>
      <c r="AD6" s="147">
        <v>7.7454718779790266E-2</v>
      </c>
      <c r="AE6" s="147">
        <v>0.14180171591992341</v>
      </c>
      <c r="AF6" s="147">
        <v>0.25357483317445162</v>
      </c>
      <c r="AG6" s="147">
        <v>0.5431363203050521</v>
      </c>
      <c r="AH6" s="147">
        <v>0.74571020019065726</v>
      </c>
      <c r="AI6" s="147">
        <v>0.72259294566253529</v>
      </c>
      <c r="AJ6" s="152">
        <v>0.17302192564346974</v>
      </c>
    </row>
    <row r="7" spans="2:36" ht="24" customHeight="1">
      <c r="B7" s="47" t="s">
        <v>70</v>
      </c>
      <c r="C7" s="141">
        <v>29.587802313354363</v>
      </c>
      <c r="D7" s="142">
        <v>34.358703843255462</v>
      </c>
      <c r="E7" s="142">
        <v>32.39448966812774</v>
      </c>
      <c r="F7" s="142">
        <v>33.804604853764779</v>
      </c>
      <c r="G7" s="143">
        <v>35.092063492063495</v>
      </c>
      <c r="H7" s="1"/>
      <c r="J7" s="44" t="s">
        <v>83</v>
      </c>
      <c r="K7" s="192" t="s">
        <v>97</v>
      </c>
      <c r="L7" s="46">
        <v>0</v>
      </c>
      <c r="M7" s="147">
        <v>-0.23450134770889486</v>
      </c>
      <c r="N7" s="147">
        <v>-0.24663072776280315</v>
      </c>
      <c r="O7" s="147">
        <v>-0.17924528301886788</v>
      </c>
      <c r="P7" s="147">
        <v>-0.1361185983827492</v>
      </c>
      <c r="Q7" s="147">
        <v>-0.3153638814016172</v>
      </c>
      <c r="R7" s="147">
        <v>-0.11590296495956875</v>
      </c>
      <c r="S7" s="147">
        <v>-0.2318059299191374</v>
      </c>
      <c r="T7" s="147">
        <v>-0.19541778975741242</v>
      </c>
      <c r="U7" s="147">
        <v>5.9299191374663218E-2</v>
      </c>
      <c r="V7" s="147">
        <v>-0.11320754716981118</v>
      </c>
      <c r="W7" s="147">
        <v>-0.12129380053908345</v>
      </c>
      <c r="X7" s="147">
        <v>-0.3504043126684635</v>
      </c>
      <c r="Y7" s="147">
        <v>-0.41239892183288396</v>
      </c>
      <c r="Z7" s="147">
        <v>-0.31940700808625333</v>
      </c>
      <c r="AA7" s="147">
        <v>-0.42991913746630717</v>
      </c>
      <c r="AB7" s="147">
        <v>-0.40161725067385434</v>
      </c>
      <c r="AC7" s="147">
        <v>-0.27897574123989222</v>
      </c>
      <c r="AD7" s="147">
        <v>-0.33692722371967654</v>
      </c>
      <c r="AE7" s="147">
        <v>-0.4339622641509433</v>
      </c>
      <c r="AF7" s="147">
        <v>-0.38409703504043113</v>
      </c>
      <c r="AG7" s="147">
        <v>-0.38679245283018859</v>
      </c>
      <c r="AH7" s="147">
        <v>-0.34366576819407002</v>
      </c>
      <c r="AI7" s="147">
        <v>-0.25336927223719674</v>
      </c>
      <c r="AJ7" s="152">
        <v>-0.4043126684636118</v>
      </c>
    </row>
    <row r="8" spans="2:36" ht="24" customHeight="1">
      <c r="B8" s="47" t="s">
        <v>71</v>
      </c>
      <c r="C8" s="141">
        <v>92.638297872340431</v>
      </c>
      <c r="D8" s="142">
        <v>80.261904761904759</v>
      </c>
      <c r="E8" s="142">
        <v>53.611940298507463</v>
      </c>
      <c r="F8" s="142">
        <v>47.050632911392405</v>
      </c>
      <c r="G8" s="143">
        <v>45.834319526627219</v>
      </c>
      <c r="J8" s="43" t="s">
        <v>83</v>
      </c>
      <c r="K8" s="191" t="s">
        <v>100</v>
      </c>
      <c r="L8" s="45">
        <v>0</v>
      </c>
      <c r="M8" s="147">
        <v>6.9783670621070826E-4</v>
      </c>
      <c r="N8" s="147">
        <v>-2.2563386834147492E-2</v>
      </c>
      <c r="O8" s="147">
        <v>-6.0246568969527847E-2</v>
      </c>
      <c r="P8" s="147">
        <v>-0.1270062805303559</v>
      </c>
      <c r="Q8" s="147">
        <v>-0.16003721795766457</v>
      </c>
      <c r="R8" s="147">
        <v>5.1639916259595298E-2</v>
      </c>
      <c r="S8" s="147">
        <v>0.11444521981856237</v>
      </c>
      <c r="T8" s="147">
        <v>0.22354035822284257</v>
      </c>
      <c r="U8" s="147">
        <v>0.50616422423819496</v>
      </c>
      <c r="V8" s="147">
        <v>0.70388462433123977</v>
      </c>
      <c r="W8" s="147">
        <v>0.68132123749709228</v>
      </c>
      <c r="X8" s="147">
        <v>0.14491742265643159</v>
      </c>
      <c r="Y8" s="147">
        <v>2.9774366131658514E-2</v>
      </c>
      <c r="Z8" s="147">
        <v>0.18469411491044418</v>
      </c>
      <c r="AA8" s="147">
        <v>0.15096534077692469</v>
      </c>
      <c r="AB8" s="147">
        <v>0.23191439869737152</v>
      </c>
      <c r="AC8" s="147">
        <v>0.46033961386368927</v>
      </c>
      <c r="AD8" s="147">
        <v>0.15794370783903244</v>
      </c>
      <c r="AE8" s="147">
        <v>-2.9309141660851412E-2</v>
      </c>
      <c r="AF8" s="147">
        <v>-3.0239590602464395E-3</v>
      </c>
      <c r="AG8" s="147">
        <v>0.17003954408001865</v>
      </c>
      <c r="AH8" s="147">
        <v>0.18236799255640834</v>
      </c>
      <c r="AI8" s="147">
        <v>0.20027913468248437</v>
      </c>
      <c r="AJ8" s="152">
        <v>-0.14445219818562449</v>
      </c>
    </row>
    <row r="9" spans="2:36" ht="24" customHeight="1">
      <c r="B9" s="47" t="s">
        <v>72</v>
      </c>
      <c r="C9" s="141">
        <v>56.103560750203862</v>
      </c>
      <c r="D9" s="142">
        <v>70.113345810995142</v>
      </c>
      <c r="E9" s="142">
        <v>63.685146283440687</v>
      </c>
      <c r="F9" s="142">
        <v>76.032456322077209</v>
      </c>
      <c r="G9" s="143">
        <v>72.890086665437366</v>
      </c>
      <c r="J9" s="44" t="s">
        <v>84</v>
      </c>
      <c r="K9" s="190" t="s">
        <v>101</v>
      </c>
      <c r="L9" s="42">
        <v>0</v>
      </c>
      <c r="M9" s="147">
        <v>-9.1384317521781222E-2</v>
      </c>
      <c r="N9" s="147">
        <v>7.6089060987415413E-2</v>
      </c>
      <c r="O9" s="147">
        <v>6.3891577928364196E-2</v>
      </c>
      <c r="P9" s="147">
        <v>-1.9361084220703706E-4</v>
      </c>
      <c r="Q9" s="147">
        <v>0.21316553727008714</v>
      </c>
      <c r="R9" s="147">
        <v>0.17657308809293326</v>
      </c>
      <c r="S9" s="147">
        <v>0.20387221684414314</v>
      </c>
      <c r="T9" s="147">
        <v>0.4714424007744431</v>
      </c>
      <c r="U9" s="147">
        <v>0.65091965150048381</v>
      </c>
      <c r="V9" s="147">
        <v>0.71597289448209067</v>
      </c>
      <c r="W9" s="147">
        <v>0.97773475314617597</v>
      </c>
      <c r="X9" s="147">
        <v>0.56902226524685373</v>
      </c>
      <c r="Y9" s="147">
        <v>0.46447241045498533</v>
      </c>
      <c r="Z9" s="147">
        <v>0.77366892545982546</v>
      </c>
      <c r="AJ9" s="41"/>
    </row>
    <row r="10" spans="2:36" ht="24" customHeight="1" thickBot="1">
      <c r="B10" s="63" t="s">
        <v>75</v>
      </c>
      <c r="C10" s="141">
        <v>84.372413793103448</v>
      </c>
      <c r="D10" s="142">
        <v>117.46583850931677</v>
      </c>
      <c r="E10" s="142">
        <v>100.45918367346938</v>
      </c>
      <c r="F10" s="142">
        <v>74.629213483146074</v>
      </c>
      <c r="G10" s="143">
        <v>58.753894080996886</v>
      </c>
      <c r="J10" s="43" t="s">
        <v>84</v>
      </c>
      <c r="K10" s="190" t="s">
        <v>97</v>
      </c>
      <c r="L10" s="42">
        <v>0</v>
      </c>
      <c r="M10" s="147">
        <v>-9.5435684647302899E-2</v>
      </c>
      <c r="N10" s="147">
        <v>4.7717842323651283E-2</v>
      </c>
      <c r="O10" s="147">
        <v>-0.12240663900414939</v>
      </c>
      <c r="P10" s="147">
        <v>-7.8838174273858974E-2</v>
      </c>
      <c r="Q10" s="147">
        <v>0.10995850622406622</v>
      </c>
      <c r="R10" s="147">
        <v>2.0746887966804906E-2</v>
      </c>
      <c r="S10" s="147">
        <v>-0.12863070539419086</v>
      </c>
      <c r="T10" s="147">
        <v>-5.1867219917012375E-2</v>
      </c>
      <c r="U10" s="147">
        <v>-5.6016597510373467E-2</v>
      </c>
      <c r="V10" s="147">
        <v>1.0373443983402453E-2</v>
      </c>
      <c r="W10" s="147">
        <v>0.14937759336099576</v>
      </c>
      <c r="X10" s="147">
        <v>-8.2987551867219955E-2</v>
      </c>
      <c r="Y10" s="147">
        <v>-3.319502074688796E-2</v>
      </c>
      <c r="Z10" s="147">
        <v>0.13278008298755184</v>
      </c>
      <c r="AA10" s="153"/>
      <c r="AB10" s="153"/>
      <c r="AC10" s="153"/>
      <c r="AD10" s="153"/>
      <c r="AE10" s="153"/>
      <c r="AF10" s="153"/>
      <c r="AG10" s="153"/>
      <c r="AH10" s="153"/>
      <c r="AI10" s="153"/>
      <c r="AJ10" s="154"/>
    </row>
    <row r="11" spans="2:36" ht="24" customHeight="1" thickBot="1">
      <c r="B11" s="47" t="s">
        <v>76</v>
      </c>
      <c r="C11" s="141">
        <v>92.285714285714292</v>
      </c>
      <c r="D11" s="142">
        <v>115.37349397590361</v>
      </c>
      <c r="E11" s="142">
        <v>91.2</v>
      </c>
      <c r="F11" s="142">
        <v>70.888888888888886</v>
      </c>
      <c r="G11" s="143">
        <v>69.333333333333329</v>
      </c>
      <c r="J11" s="216" t="s">
        <v>58</v>
      </c>
      <c r="K11" s="217"/>
      <c r="L11" s="40">
        <v>0</v>
      </c>
      <c r="M11" s="39">
        <f t="shared" ref="M11:AJ11" si="0">AVERAGE(M3:M10)</f>
        <v>-6.6257135875091855E-2</v>
      </c>
      <c r="N11" s="39">
        <f t="shared" si="0"/>
        <v>-4.4460587260448201E-2</v>
      </c>
      <c r="O11" s="39">
        <f t="shared" si="0"/>
        <v>-3.7021284232970367E-2</v>
      </c>
      <c r="P11" s="39">
        <f t="shared" si="0"/>
        <v>-9.210814842503981E-3</v>
      </c>
      <c r="Q11" s="39">
        <f t="shared" si="0"/>
        <v>-5.617209204922706E-2</v>
      </c>
      <c r="R11" s="39">
        <f t="shared" si="0"/>
        <v>-0.10254479777387229</v>
      </c>
      <c r="S11" s="39">
        <f t="shared" si="0"/>
        <v>-0.10603723913237983</v>
      </c>
      <c r="T11" s="39">
        <f t="shared" si="0"/>
        <v>-9.4182915000468881E-3</v>
      </c>
      <c r="U11" s="39">
        <f t="shared" si="0"/>
        <v>6.2564282903309038E-2</v>
      </c>
      <c r="V11" s="39">
        <f t="shared" si="0"/>
        <v>0.11195923688734422</v>
      </c>
      <c r="W11" s="39">
        <f t="shared" si="0"/>
        <v>0.16635022209759143</v>
      </c>
      <c r="X11" s="39">
        <f t="shared" si="0"/>
        <v>-1.0482490266590011E-2</v>
      </c>
      <c r="Y11" s="39">
        <f t="shared" si="0"/>
        <v>-6.9885595221401461E-2</v>
      </c>
      <c r="Z11" s="39">
        <f t="shared" si="0"/>
        <v>5.241867542390144E-3</v>
      </c>
      <c r="AA11" s="39">
        <f t="shared" si="0"/>
        <v>-0.11822813121604496</v>
      </c>
      <c r="AB11" s="39">
        <f t="shared" si="0"/>
        <v>-0.12260861495310889</v>
      </c>
      <c r="AC11" s="39">
        <f t="shared" si="0"/>
        <v>-0.1637459672696312</v>
      </c>
      <c r="AD11" s="39">
        <f t="shared" si="0"/>
        <v>-0.18900754867921291</v>
      </c>
      <c r="AE11" s="39">
        <f t="shared" si="0"/>
        <v>-0.28234103156338092</v>
      </c>
      <c r="AF11" s="39">
        <f t="shared" si="0"/>
        <v>-0.21943425671462621</v>
      </c>
      <c r="AG11" s="39">
        <f t="shared" si="0"/>
        <v>-7.3089207920899235E-2</v>
      </c>
      <c r="AH11" s="39">
        <f t="shared" si="0"/>
        <v>-7.7376164839808845E-2</v>
      </c>
      <c r="AI11" s="39">
        <f t="shared" si="0"/>
        <v>-2.9635942364577856E-2</v>
      </c>
      <c r="AJ11" s="38">
        <f t="shared" si="0"/>
        <v>-0.20946285671441403</v>
      </c>
    </row>
    <row r="12" spans="2:36" ht="24" customHeight="1">
      <c r="B12" s="64" t="s">
        <v>74</v>
      </c>
      <c r="C12" s="141">
        <v>29.256396866840731</v>
      </c>
      <c r="D12" s="142">
        <v>40.743785850860419</v>
      </c>
      <c r="E12" s="142">
        <v>37.083146067415733</v>
      </c>
      <c r="F12" s="142">
        <v>33.290839205637411</v>
      </c>
      <c r="G12" s="143">
        <v>34.577608142493638</v>
      </c>
    </row>
    <row r="13" spans="2:36" ht="24" customHeight="1" thickBot="1">
      <c r="B13" s="65" t="s">
        <v>73</v>
      </c>
      <c r="C13" s="144">
        <v>30.615300546448086</v>
      </c>
      <c r="D13" s="145">
        <v>37.209357652656621</v>
      </c>
      <c r="E13" s="145">
        <v>38.368882395909424</v>
      </c>
      <c r="F13" s="145">
        <v>40.589350838803796</v>
      </c>
      <c r="G13" s="146">
        <v>37.99405744470122</v>
      </c>
    </row>
    <row r="14" spans="2:36" ht="24" customHeight="1" thickBot="1"/>
    <row r="15" spans="2:36" ht="24" customHeight="1" thickBot="1">
      <c r="B15" s="51"/>
      <c r="C15" s="50">
        <v>2021</v>
      </c>
      <c r="D15" s="50">
        <v>2022</v>
      </c>
      <c r="E15" s="50">
        <v>2023</v>
      </c>
      <c r="F15" s="50">
        <v>2024</v>
      </c>
      <c r="G15" s="49">
        <v>2025</v>
      </c>
      <c r="J15" s="228" t="s">
        <v>59</v>
      </c>
      <c r="K15" s="229"/>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8</v>
      </c>
      <c r="D16" s="84">
        <v>8</v>
      </c>
      <c r="E16" s="84">
        <v>8</v>
      </c>
      <c r="F16" s="84">
        <v>8</v>
      </c>
      <c r="G16" s="85">
        <v>8</v>
      </c>
      <c r="J16" s="48" t="s">
        <v>81</v>
      </c>
      <c r="K16" s="197" t="s">
        <v>96</v>
      </c>
      <c r="L16" s="42">
        <v>0</v>
      </c>
      <c r="M16" s="147">
        <v>8.9301121656600424E-2</v>
      </c>
      <c r="N16" s="147">
        <v>2.7394305435720412E-2</v>
      </c>
      <c r="O16" s="147">
        <v>-0.235979292493529</v>
      </c>
      <c r="P16" s="147">
        <v>-0.20729076790336509</v>
      </c>
      <c r="Q16" s="147">
        <v>-0.24482312338222623</v>
      </c>
      <c r="R16" s="147">
        <v>-0.29831751509922355</v>
      </c>
      <c r="S16" s="147">
        <v>-7.0750647109577458E-2</v>
      </c>
      <c r="T16" s="147">
        <v>-4.7238999137187432E-2</v>
      </c>
      <c r="U16" s="147">
        <v>-0.1867989646246766</v>
      </c>
      <c r="V16" s="147">
        <v>5.6082830025884212E-2</v>
      </c>
      <c r="W16" s="147">
        <v>0.12079378774805849</v>
      </c>
      <c r="X16" s="147">
        <v>-4.5513373597929396E-2</v>
      </c>
      <c r="Y16" s="147">
        <v>-5.5220017256255582E-2</v>
      </c>
      <c r="Z16" s="147">
        <v>2.3943054357204119E-2</v>
      </c>
      <c r="AA16" s="147">
        <v>0.18356341673856713</v>
      </c>
      <c r="AB16" s="147">
        <v>0.17148403796376144</v>
      </c>
      <c r="AC16" s="147">
        <v>7.441760138050002E-2</v>
      </c>
      <c r="AD16" s="147">
        <v>-8.7575496117342944E-2</v>
      </c>
      <c r="AE16" s="147">
        <v>-0.24482312338222634</v>
      </c>
      <c r="AF16" s="147">
        <v>-0.15012942191544465</v>
      </c>
      <c r="AG16" s="147">
        <v>-0.11000862812769663</v>
      </c>
      <c r="AH16" s="147">
        <v>-0.10742018981880963</v>
      </c>
      <c r="AI16" s="147">
        <v>-1.87661777394309E-2</v>
      </c>
      <c r="AJ16" s="152">
        <v>3.2786885245901232E-2</v>
      </c>
    </row>
    <row r="17" spans="2:36" ht="24" customHeight="1">
      <c r="B17" s="47" t="s">
        <v>70</v>
      </c>
      <c r="C17" s="84">
        <v>6</v>
      </c>
      <c r="D17" s="84">
        <v>7</v>
      </c>
      <c r="E17" s="84">
        <v>7</v>
      </c>
      <c r="F17" s="84">
        <v>6</v>
      </c>
      <c r="G17" s="85">
        <v>6</v>
      </c>
      <c r="J17" s="43" t="s">
        <v>81</v>
      </c>
      <c r="K17" s="198" t="s">
        <v>104</v>
      </c>
      <c r="L17" s="45">
        <v>0</v>
      </c>
      <c r="M17" s="147">
        <v>2.8493150684931523E-2</v>
      </c>
      <c r="N17" s="147">
        <v>-2.082191780821907E-2</v>
      </c>
      <c r="O17" s="147">
        <v>-0.30520547945205467</v>
      </c>
      <c r="P17" s="147">
        <v>-0.24876712328767103</v>
      </c>
      <c r="Q17" s="147">
        <v>-0.28821917808219166</v>
      </c>
      <c r="R17" s="147">
        <v>-0.34027397260273973</v>
      </c>
      <c r="S17" s="147">
        <v>-0.22301369863013698</v>
      </c>
      <c r="T17" s="147">
        <v>-0.20931506849315062</v>
      </c>
      <c r="U17" s="147">
        <v>-0.30301369863013694</v>
      </c>
      <c r="V17" s="147">
        <v>-0.11561643835616431</v>
      </c>
      <c r="W17" s="147">
        <v>-0.12438356164383557</v>
      </c>
      <c r="X17" s="147">
        <v>-0.19178082191780821</v>
      </c>
      <c r="Y17" s="147">
        <v>-0.25260273972602731</v>
      </c>
      <c r="Z17" s="147">
        <v>-0.19013698630136988</v>
      </c>
      <c r="AA17" s="147">
        <v>-1.69863013698629E-2</v>
      </c>
      <c r="AB17" s="147">
        <v>-8.2191780821917693E-2</v>
      </c>
      <c r="AC17" s="147">
        <v>-0.19287671232876702</v>
      </c>
      <c r="AD17" s="147">
        <v>-0.29808219178082185</v>
      </c>
      <c r="AE17" s="147">
        <v>-0.38904109589041092</v>
      </c>
      <c r="AF17" s="147">
        <v>-0.31890410958904114</v>
      </c>
      <c r="AG17" s="147">
        <v>-0.24712328767123293</v>
      </c>
      <c r="AH17" s="147">
        <v>-0.22027397260273973</v>
      </c>
      <c r="AI17" s="147">
        <v>-0.14082191780821918</v>
      </c>
      <c r="AJ17" s="152">
        <v>-0.15890410958904111</v>
      </c>
    </row>
    <row r="18" spans="2:36" ht="24" customHeight="1">
      <c r="B18" s="47" t="s">
        <v>71</v>
      </c>
      <c r="C18" s="86">
        <v>1</v>
      </c>
      <c r="D18" s="86">
        <v>3</v>
      </c>
      <c r="E18" s="86">
        <v>4</v>
      </c>
      <c r="F18" s="86">
        <v>4</v>
      </c>
      <c r="G18" s="87">
        <v>4</v>
      </c>
      <c r="J18" s="44" t="s">
        <v>82</v>
      </c>
      <c r="K18" s="199" t="s">
        <v>99</v>
      </c>
      <c r="L18" s="46">
        <v>0</v>
      </c>
      <c r="M18" s="147">
        <v>-6.4026402640264046E-2</v>
      </c>
      <c r="N18" s="147">
        <v>-7.7227722772277185E-2</v>
      </c>
      <c r="O18" s="147">
        <v>0.11881188118811892</v>
      </c>
      <c r="P18" s="147">
        <v>6.1056105610561184E-2</v>
      </c>
      <c r="Q18" s="147">
        <v>-1.848184818481835E-2</v>
      </c>
      <c r="R18" s="147">
        <v>-0.15907590759075896</v>
      </c>
      <c r="S18" s="147">
        <v>-0.30561056105610551</v>
      </c>
      <c r="T18" s="147">
        <v>-0.20132013201320109</v>
      </c>
      <c r="U18" s="147">
        <v>-9.7689768976897406E-2</v>
      </c>
      <c r="V18" s="147">
        <v>-6.0396039603960117E-2</v>
      </c>
      <c r="W18" s="147">
        <v>7.7227722772277518E-2</v>
      </c>
      <c r="X18" s="147">
        <v>-8.2508250825082285E-2</v>
      </c>
      <c r="Y18" s="147">
        <v>-0.18052805280528039</v>
      </c>
      <c r="Z18" s="147">
        <v>-0.15181518151815154</v>
      </c>
      <c r="AA18" s="147">
        <v>-9.6039603960395792E-2</v>
      </c>
      <c r="AB18" s="147">
        <v>-0.14356435643564336</v>
      </c>
      <c r="AC18" s="147">
        <v>-8.0528052805280192E-2</v>
      </c>
      <c r="AD18" s="147">
        <v>-5.77557755775574E-2</v>
      </c>
      <c r="AE18" s="147">
        <v>-2.1782178217821357E-2</v>
      </c>
      <c r="AF18" s="147">
        <v>3.5313531353135641E-2</v>
      </c>
      <c r="AG18" s="147">
        <v>7.5577557755776015E-2</v>
      </c>
      <c r="AH18" s="147">
        <v>-1.2541254125412182E-2</v>
      </c>
      <c r="AI18" s="147">
        <v>-9.9009900990065791E-4</v>
      </c>
      <c r="AJ18" s="152">
        <v>7.9867986798680013E-2</v>
      </c>
    </row>
    <row r="19" spans="2:36" ht="24" customHeight="1">
      <c r="B19" s="47" t="s">
        <v>72</v>
      </c>
      <c r="C19" s="86">
        <v>4</v>
      </c>
      <c r="D19" s="86">
        <v>4</v>
      </c>
      <c r="E19" s="86">
        <v>3</v>
      </c>
      <c r="F19" s="86">
        <v>1</v>
      </c>
      <c r="G19" s="87">
        <v>1</v>
      </c>
      <c r="J19" s="43" t="s">
        <v>82</v>
      </c>
      <c r="K19" s="198" t="s">
        <v>104</v>
      </c>
      <c r="L19" s="45">
        <v>0</v>
      </c>
      <c r="M19" s="147">
        <v>-7.5254237288135517E-2</v>
      </c>
      <c r="N19" s="147">
        <v>2.0338983050847137E-3</v>
      </c>
      <c r="O19" s="147">
        <v>0.21627118644067811</v>
      </c>
      <c r="P19" s="147">
        <v>0.13559322033898313</v>
      </c>
      <c r="Q19" s="147">
        <v>-1.3559322033896981E-3</v>
      </c>
      <c r="R19" s="147">
        <v>-0.13152542372881337</v>
      </c>
      <c r="S19" s="147">
        <v>-0.24406779661016931</v>
      </c>
      <c r="T19" s="147">
        <v>-0.15728813559322019</v>
      </c>
      <c r="U19" s="147">
        <v>-6.847457627118636E-2</v>
      </c>
      <c r="V19" s="147">
        <v>-3.5254237288135482E-2</v>
      </c>
      <c r="W19" s="147">
        <v>6.3050847457627235E-2</v>
      </c>
      <c r="X19" s="147">
        <v>4.067796610169494E-2</v>
      </c>
      <c r="Y19" s="147">
        <v>-8.4067796610169498E-2</v>
      </c>
      <c r="Z19" s="147">
        <v>-0.22033898305084754</v>
      </c>
      <c r="AA19" s="147">
        <v>-0.23186440677966114</v>
      </c>
      <c r="AB19" s="147">
        <v>-0.27864406779661022</v>
      </c>
      <c r="AC19" s="147">
        <v>-0.28000000000000014</v>
      </c>
      <c r="AD19" s="147">
        <v>-0.23796610169491528</v>
      </c>
      <c r="AE19" s="147">
        <v>-9.152542372881356E-2</v>
      </c>
      <c r="AF19" s="147">
        <v>-1.5593220338983027E-2</v>
      </c>
      <c r="AG19" s="147">
        <v>0.18169491525423731</v>
      </c>
      <c r="AH19" s="147">
        <v>0.14711864406779673</v>
      </c>
      <c r="AI19" s="147">
        <v>-2.7118644067796627E-2</v>
      </c>
      <c r="AJ19" s="152">
        <v>-0.28474576271186436</v>
      </c>
    </row>
    <row r="20" spans="2:36" ht="24" customHeight="1">
      <c r="B20" s="63" t="s">
        <v>75</v>
      </c>
      <c r="C20" s="88">
        <v>3</v>
      </c>
      <c r="D20" s="89">
        <v>1</v>
      </c>
      <c r="E20" s="89">
        <v>1</v>
      </c>
      <c r="F20" s="89">
        <v>2</v>
      </c>
      <c r="G20" s="90">
        <v>3</v>
      </c>
      <c r="J20" s="44" t="s">
        <v>83</v>
      </c>
      <c r="K20" s="199" t="s">
        <v>99</v>
      </c>
      <c r="L20" s="46">
        <v>0</v>
      </c>
      <c r="M20" s="147">
        <v>-0.10683453237410079</v>
      </c>
      <c r="N20" s="147">
        <v>-7.5539568345323715E-2</v>
      </c>
      <c r="O20" s="147">
        <v>-1.4748201438848918E-2</v>
      </c>
      <c r="P20" s="147">
        <v>-6.6546762589928088E-2</v>
      </c>
      <c r="Q20" s="147">
        <v>2.1582733812950394E-3</v>
      </c>
      <c r="R20" s="147">
        <v>2.6978417266187105E-2</v>
      </c>
      <c r="S20" s="147">
        <v>6.6187050359712396E-2</v>
      </c>
      <c r="T20" s="147">
        <v>0.12841726618705041</v>
      </c>
      <c r="U20" s="147">
        <v>0.17230215827338147</v>
      </c>
      <c r="V20" s="147">
        <v>7.6258992805755543E-2</v>
      </c>
      <c r="W20" s="147">
        <v>8.8848920863309422E-2</v>
      </c>
      <c r="X20" s="147">
        <v>0.17697841726618702</v>
      </c>
      <c r="Y20" s="147">
        <v>-1.4028776978417201E-2</v>
      </c>
      <c r="Z20" s="147">
        <v>0.17697841726618702</v>
      </c>
      <c r="AA20" s="147">
        <v>0.14388489208633093</v>
      </c>
      <c r="AB20" s="147">
        <v>9.676258992805753E-2</v>
      </c>
      <c r="AC20" s="147">
        <v>0.16654676258992795</v>
      </c>
      <c r="AD20" s="147">
        <v>0.13165467625899274</v>
      </c>
      <c r="AE20" s="147">
        <v>8.0575539568345178E-2</v>
      </c>
      <c r="AF20" s="147">
        <v>0.24136690647481984</v>
      </c>
      <c r="AG20" s="147">
        <v>0.47374100719424428</v>
      </c>
      <c r="AH20" s="147">
        <v>0.70215827338129477</v>
      </c>
      <c r="AI20" s="147">
        <v>0.76438848920863278</v>
      </c>
      <c r="AJ20" s="152">
        <v>0.34568345323740979</v>
      </c>
    </row>
    <row r="21" spans="2:36" ht="24" customHeight="1">
      <c r="B21" s="47" t="s">
        <v>76</v>
      </c>
      <c r="C21" s="91">
        <v>2</v>
      </c>
      <c r="D21" s="91">
        <v>2</v>
      </c>
      <c r="E21" s="84">
        <v>2</v>
      </c>
      <c r="F21" s="84">
        <v>3</v>
      </c>
      <c r="G21" s="85">
        <v>2</v>
      </c>
      <c r="J21" s="43" t="s">
        <v>83</v>
      </c>
      <c r="K21" s="198" t="s">
        <v>104</v>
      </c>
      <c r="L21" s="45">
        <v>0</v>
      </c>
      <c r="M21" s="147">
        <v>-0.11986970684039089</v>
      </c>
      <c r="N21" s="147">
        <v>-0.250814332247557</v>
      </c>
      <c r="O21" s="147">
        <v>-0.26188925081433223</v>
      </c>
      <c r="P21" s="147">
        <v>-0.30684039087947879</v>
      </c>
      <c r="Q21" s="147">
        <v>-0.30814332247557008</v>
      </c>
      <c r="R21" s="147">
        <v>-0.26775244299674261</v>
      </c>
      <c r="S21" s="147">
        <v>-0.12703583061889245</v>
      </c>
      <c r="T21" s="147">
        <v>-5.4071661237784951E-2</v>
      </c>
      <c r="U21" s="147">
        <v>0.13550488599348531</v>
      </c>
      <c r="V21" s="147">
        <v>0.10228013029315974</v>
      </c>
      <c r="W21" s="147">
        <v>-6.514657980456029E-2</v>
      </c>
      <c r="X21" s="147">
        <v>-0.31270358306188917</v>
      </c>
      <c r="Y21" s="147">
        <v>-0.35179153094462545</v>
      </c>
      <c r="Z21" s="147">
        <v>-0.25667752442996739</v>
      </c>
      <c r="AA21" s="147">
        <v>-0.2690553745928338</v>
      </c>
      <c r="AB21" s="147">
        <v>-0.25146579804560265</v>
      </c>
      <c r="AC21" s="147">
        <v>-0.12899022801302951</v>
      </c>
      <c r="AD21" s="147">
        <v>-0.26775244299674283</v>
      </c>
      <c r="AE21" s="147">
        <v>-0.14462540716612382</v>
      </c>
      <c r="AF21" s="147">
        <v>-8.4690553745928376E-2</v>
      </c>
      <c r="AG21" s="147">
        <v>-1.3029315960914056E-3</v>
      </c>
      <c r="AH21" s="147">
        <v>-0.13355048859934859</v>
      </c>
      <c r="AI21" s="147">
        <v>-0.14853420195439748</v>
      </c>
      <c r="AJ21" s="152">
        <v>-0.30032573289902287</v>
      </c>
    </row>
    <row r="22" spans="2:36" ht="24" customHeight="1">
      <c r="B22" s="64" t="s">
        <v>74</v>
      </c>
      <c r="C22" s="92">
        <v>7</v>
      </c>
      <c r="D22" s="92">
        <v>5</v>
      </c>
      <c r="E22" s="92">
        <v>6</v>
      </c>
      <c r="F22" s="92">
        <v>7</v>
      </c>
      <c r="G22" s="93">
        <v>7</v>
      </c>
      <c r="J22" s="44" t="s">
        <v>84</v>
      </c>
      <c r="K22" s="197" t="s">
        <v>96</v>
      </c>
      <c r="L22" s="42">
        <v>0</v>
      </c>
      <c r="M22" s="147">
        <v>-3.3309196234613259E-3</v>
      </c>
      <c r="N22" s="147">
        <v>0.15047067342505427</v>
      </c>
      <c r="O22" s="147">
        <v>0.1532223026792181</v>
      </c>
      <c r="P22" s="147">
        <v>0.27892831281679986</v>
      </c>
      <c r="Q22" s="147">
        <v>0.52063721940622787</v>
      </c>
      <c r="R22" s="147">
        <v>0.39753801593048554</v>
      </c>
      <c r="S22" s="147">
        <v>0.36191165821868254</v>
      </c>
      <c r="T22" s="147">
        <v>0.47661115133960918</v>
      </c>
      <c r="U22" s="147">
        <v>0.61940622737147022</v>
      </c>
      <c r="V22" s="147">
        <v>0.48182476466328783</v>
      </c>
      <c r="W22" s="147">
        <v>0.53946415640839995</v>
      </c>
      <c r="X22" s="147">
        <v>0.33338160753077495</v>
      </c>
      <c r="Y22" s="147">
        <v>0.30340333091962357</v>
      </c>
      <c r="Z22" s="147">
        <v>0.63099203475742249</v>
      </c>
      <c r="AJ22" s="41"/>
    </row>
    <row r="23" spans="2:36" ht="24" customHeight="1" thickBot="1">
      <c r="B23" s="65" t="s">
        <v>73</v>
      </c>
      <c r="C23" s="94">
        <v>5</v>
      </c>
      <c r="D23" s="94">
        <v>6</v>
      </c>
      <c r="E23" s="94">
        <v>5</v>
      </c>
      <c r="F23" s="94">
        <v>5</v>
      </c>
      <c r="G23" s="95">
        <v>5</v>
      </c>
      <c r="J23" s="43" t="s">
        <v>84</v>
      </c>
      <c r="K23" s="197" t="s">
        <v>104</v>
      </c>
      <c r="L23" s="42">
        <v>0</v>
      </c>
      <c r="M23" s="147">
        <v>-5.6872037914692086E-2</v>
      </c>
      <c r="N23" s="147">
        <v>8.1516587677725072E-2</v>
      </c>
      <c r="O23" s="147">
        <v>6.3507109004739437E-2</v>
      </c>
      <c r="P23" s="147">
        <v>8.9099526066350743E-2</v>
      </c>
      <c r="Q23" s="147">
        <v>0.26729857819905201</v>
      </c>
      <c r="R23" s="147">
        <v>6.5402843601895633E-2</v>
      </c>
      <c r="S23" s="147">
        <v>0.24454976303317544</v>
      </c>
      <c r="T23" s="147">
        <v>0.33175355450236976</v>
      </c>
      <c r="U23" s="147">
        <v>0.45308056872037894</v>
      </c>
      <c r="V23" s="147">
        <v>0.26066350710900466</v>
      </c>
      <c r="W23" s="147">
        <v>0.23886255924170596</v>
      </c>
      <c r="X23" s="147">
        <v>1.8009478672985635E-2</v>
      </c>
      <c r="Y23" s="147">
        <v>0.10995260663507089</v>
      </c>
      <c r="Z23" s="147">
        <v>0.38767772511848309</v>
      </c>
      <c r="AA23" s="153"/>
      <c r="AB23" s="153"/>
      <c r="AC23" s="153"/>
      <c r="AD23" s="153"/>
      <c r="AE23" s="153"/>
      <c r="AF23" s="153"/>
      <c r="AG23" s="153"/>
      <c r="AH23" s="153"/>
      <c r="AI23" s="153"/>
      <c r="AJ23" s="154"/>
    </row>
    <row r="24" spans="2:36" ht="24" customHeight="1" thickBot="1">
      <c r="J24" s="216" t="s">
        <v>58</v>
      </c>
      <c r="K24" s="217"/>
      <c r="L24" s="40">
        <v>0</v>
      </c>
      <c r="M24" s="39">
        <f>AVERAGE(M16:M23)</f>
        <v>-3.8549195542439088E-2</v>
      </c>
      <c r="N24" s="39">
        <f t="shared" ref="N24:AJ24" si="1">AVERAGE(N16:N23)</f>
        <v>-2.0373509541224064E-2</v>
      </c>
      <c r="O24" s="39">
        <f t="shared" si="1"/>
        <v>-3.3251218110751282E-2</v>
      </c>
      <c r="P24" s="39">
        <f t="shared" si="1"/>
        <v>-3.309598497846851E-2</v>
      </c>
      <c r="Q24" s="39">
        <f t="shared" si="1"/>
        <v>-8.8661666677026379E-3</v>
      </c>
      <c r="R24" s="39">
        <f t="shared" si="1"/>
        <v>-8.8378248152463729E-2</v>
      </c>
      <c r="S24" s="39">
        <f t="shared" si="1"/>
        <v>-3.7228757801663917E-2</v>
      </c>
      <c r="T24" s="39">
        <f t="shared" si="1"/>
        <v>3.3443496944310633E-2</v>
      </c>
      <c r="U24" s="39">
        <f t="shared" si="1"/>
        <v>9.0539603981977329E-2</v>
      </c>
      <c r="V24" s="39">
        <f t="shared" si="1"/>
        <v>9.573043870610401E-2</v>
      </c>
      <c r="W24" s="39">
        <f t="shared" si="1"/>
        <v>0.11733973163037284</v>
      </c>
      <c r="X24" s="39">
        <f t="shared" si="1"/>
        <v>-7.9323199788833149E-3</v>
      </c>
      <c r="Y24" s="39">
        <f t="shared" si="1"/>
        <v>-6.5610372095760122E-2</v>
      </c>
      <c r="Z24" s="39">
        <f t="shared" si="1"/>
        <v>5.0077819524870046E-2</v>
      </c>
      <c r="AA24" s="39">
        <f t="shared" si="1"/>
        <v>-4.7749562979642592E-2</v>
      </c>
      <c r="AB24" s="39">
        <f t="shared" si="1"/>
        <v>-8.1269895867992492E-2</v>
      </c>
      <c r="AC24" s="39">
        <f t="shared" si="1"/>
        <v>-7.3571771529441485E-2</v>
      </c>
      <c r="AD24" s="39">
        <f t="shared" si="1"/>
        <v>-0.13624622198473127</v>
      </c>
      <c r="AE24" s="39">
        <f t="shared" si="1"/>
        <v>-0.13520361480284179</v>
      </c>
      <c r="AF24" s="39">
        <f t="shared" si="1"/>
        <v>-4.8772811293573616E-2</v>
      </c>
      <c r="AG24" s="39">
        <f t="shared" si="1"/>
        <v>6.2096438801539443E-2</v>
      </c>
      <c r="AH24" s="39">
        <f t="shared" si="1"/>
        <v>6.2581835383796899E-2</v>
      </c>
      <c r="AI24" s="39">
        <f t="shared" si="1"/>
        <v>7.1359574771481318E-2</v>
      </c>
      <c r="AJ24" s="38">
        <f t="shared" si="1"/>
        <v>-4.760621331965622E-2</v>
      </c>
    </row>
    <row r="25" spans="2:36" ht="18" customHeigh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1.05" hidden="1"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30" hidden="1" customHeight="1">
      <c r="J27" s="206" t="s">
        <v>91</v>
      </c>
      <c r="K27" s="207"/>
      <c r="L27" s="158">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52">
        <v>0.15979569178065556</v>
      </c>
    </row>
    <row r="28" spans="2:36" ht="1.05" hidden="1"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0.38842044041457058</v>
      </c>
      <c r="AF28" s="147">
        <v>0.46797880909447076</v>
      </c>
      <c r="AG28" s="147">
        <v>0.43129381818358792</v>
      </c>
      <c r="AH28" s="147">
        <v>0.46996211042729796</v>
      </c>
      <c r="AI28" s="147">
        <v>0.44902672224777396</v>
      </c>
      <c r="AJ28" s="152">
        <v>0.36564289381915693</v>
      </c>
    </row>
    <row r="29" spans="2:36" ht="1.05" hidden="1"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52">
        <v>0.24249812060483178</v>
      </c>
    </row>
    <row r="30" spans="2:36" ht="1.05" hidden="1"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1.05" hidden="1"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0.20531230398190772</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8" spans="10:36" ht="35.25" hidden="1" thickBot="1">
      <c r="J68" s="214" t="s">
        <v>131</v>
      </c>
      <c r="K68" s="21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hidden="1">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hidden="1">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hidden="1">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7.25" hidden="1"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7.25" hidden="1"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J24:K24"/>
    <mergeCell ref="F1:H1"/>
    <mergeCell ref="B2:D3"/>
    <mergeCell ref="J2:K2"/>
    <mergeCell ref="J11:K11"/>
    <mergeCell ref="J15:K15"/>
    <mergeCell ref="J73:K73"/>
    <mergeCell ref="J26:K26"/>
    <mergeCell ref="J27:K27"/>
    <mergeCell ref="J28:K28"/>
    <mergeCell ref="J29:K29"/>
    <mergeCell ref="J30:K30"/>
    <mergeCell ref="J31:K31"/>
    <mergeCell ref="J68:K68"/>
    <mergeCell ref="J69:K69"/>
    <mergeCell ref="J70:K70"/>
    <mergeCell ref="J71:K71"/>
    <mergeCell ref="J72:K72"/>
  </mergeCells>
  <phoneticPr fontId="13" type="noConversion"/>
  <conditionalFormatting sqref="C16:G23">
    <cfRule type="cellIs" dxfId="152" priority="6" operator="between">
      <formula>7</formula>
      <formula>8</formula>
    </cfRule>
    <cfRule type="cellIs" dxfId="151" priority="7" operator="between">
      <formula>1</formula>
      <formula>2</formula>
    </cfRule>
  </conditionalFormatting>
  <conditionalFormatting sqref="F3">
    <cfRule type="cellIs" dxfId="150" priority="2" operator="equal">
      <formula>"GOOD"</formula>
    </cfRule>
    <cfRule type="cellIs" dxfId="149" priority="4" operator="equal">
      <formula>"GOOD"</formula>
    </cfRule>
    <cfRule type="top10" dxfId="148" priority="5" percent="1" rank="10"/>
  </conditionalFormatting>
  <conditionalFormatting sqref="G3">
    <cfRule type="cellIs" dxfId="147" priority="1" operator="equal">
      <formula>"BAD"</formula>
    </cfRule>
    <cfRule type="cellIs" dxfId="146" priority="3" operator="equal">
      <formula>"BAD"</formula>
    </cfRule>
  </conditionalFormatting>
  <pageMargins left="0.7" right="0.7" top="0.75" bottom="0.75" header="0.3" footer="0.3"/>
  <pageSetup paperSize="9" orientation="portrait" horizontalDpi="360" verticalDpi="36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2816D-2A43-C54B-B326-B035B1123803}">
  <dimension ref="B1:AJ73"/>
  <sheetViews>
    <sheetView topLeftCell="K58" zoomScale="61" zoomScaleNormal="55" workbookViewId="0">
      <selection activeCell="B15" sqref="B15:G2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18"/>
      <c r="G1" s="219"/>
      <c r="H1" s="219"/>
    </row>
    <row r="2" spans="2:36" ht="24" customHeight="1" thickBot="1">
      <c r="B2" s="240" t="s">
        <v>105</v>
      </c>
      <c r="C2" s="241"/>
      <c r="D2" s="242"/>
      <c r="J2" s="226" t="s">
        <v>60</v>
      </c>
      <c r="K2" s="227"/>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43"/>
      <c r="C3" s="244"/>
      <c r="D3" s="245"/>
      <c r="F3" s="188" t="s">
        <v>130</v>
      </c>
      <c r="G3" s="189" t="s">
        <v>129</v>
      </c>
      <c r="J3" s="48" t="s">
        <v>81</v>
      </c>
      <c r="K3" s="190" t="s">
        <v>98</v>
      </c>
      <c r="L3" s="42">
        <v>0</v>
      </c>
      <c r="M3" s="147">
        <v>-6.3548102383053862E-2</v>
      </c>
      <c r="N3" s="147">
        <v>-5.1191526919682206E-2</v>
      </c>
      <c r="O3" s="147">
        <v>-0.17299205648720217</v>
      </c>
      <c r="P3" s="147">
        <v>0.27802294792586069</v>
      </c>
      <c r="Q3" s="147">
        <v>0.13857016769638153</v>
      </c>
      <c r="R3" s="147">
        <v>-0.14386584289496906</v>
      </c>
      <c r="S3" s="147">
        <v>0.15710503089143879</v>
      </c>
      <c r="T3" s="147">
        <v>0.15092674315975296</v>
      </c>
      <c r="U3" s="147">
        <v>-9.3556928508384707E-2</v>
      </c>
      <c r="V3" s="147">
        <v>0.1103265666372466</v>
      </c>
      <c r="W3" s="147">
        <v>3.7952338923213036E-2</v>
      </c>
      <c r="X3" s="147">
        <v>-0.13150926743159719</v>
      </c>
      <c r="Y3" s="147">
        <v>-0.1624007060900261</v>
      </c>
      <c r="Z3" s="147">
        <v>-0.27360988526037033</v>
      </c>
      <c r="AA3" s="147">
        <v>-0.14651368049426261</v>
      </c>
      <c r="AB3" s="147">
        <v>-0.17917034421888745</v>
      </c>
      <c r="AC3" s="147">
        <v>-0.44571932921447455</v>
      </c>
      <c r="AD3" s="147">
        <v>-0.57281553398058227</v>
      </c>
      <c r="AE3" s="147">
        <v>-0.70079435127978806</v>
      </c>
      <c r="AF3" s="147">
        <v>-0.6548984995586935</v>
      </c>
      <c r="AG3" s="147">
        <v>-0.51809355692850811</v>
      </c>
      <c r="AH3" s="147">
        <v>-0.57016769638128828</v>
      </c>
      <c r="AI3" s="147">
        <v>-0.38746690203000833</v>
      </c>
      <c r="AJ3" s="152">
        <v>-0.28420123565754574</v>
      </c>
    </row>
    <row r="4" spans="2:36" ht="24" customHeight="1" thickBot="1">
      <c r="J4" s="43" t="s">
        <v>81</v>
      </c>
      <c r="K4" s="191" t="s">
        <v>100</v>
      </c>
      <c r="L4" s="45">
        <v>0</v>
      </c>
      <c r="M4" s="147">
        <v>-6.2403033959662069E-2</v>
      </c>
      <c r="N4" s="147">
        <v>-0.16807446991897945</v>
      </c>
      <c r="O4" s="147">
        <v>-0.30960179279434574</v>
      </c>
      <c r="P4" s="147">
        <v>-0.23582141010170654</v>
      </c>
      <c r="Q4" s="147">
        <v>-0.24909498362351312</v>
      </c>
      <c r="R4" s="147">
        <v>-0.32511635924840543</v>
      </c>
      <c r="S4" s="147">
        <v>-0.23358041716945344</v>
      </c>
      <c r="T4" s="147">
        <v>-0.18220996379934495</v>
      </c>
      <c r="U4" s="147">
        <v>-0.25978279606964327</v>
      </c>
      <c r="V4" s="147">
        <v>-0.11498017583175313</v>
      </c>
      <c r="W4" s="147">
        <v>-0.17548698500258586</v>
      </c>
      <c r="X4" s="147">
        <v>-0.27667643509739703</v>
      </c>
      <c r="Y4" s="147">
        <v>-0.25081882434063096</v>
      </c>
      <c r="Z4" s="147">
        <v>-0.22547836579900027</v>
      </c>
      <c r="AA4" s="147">
        <v>-8.3261506636786886E-2</v>
      </c>
      <c r="AB4" s="147">
        <v>-0.1616962592656439</v>
      </c>
      <c r="AC4" s="147">
        <v>-0.27650405102568532</v>
      </c>
      <c r="AD4" s="147">
        <v>-0.36079986209274273</v>
      </c>
      <c r="AE4" s="147">
        <v>-0.45474918117565943</v>
      </c>
      <c r="AF4" s="147">
        <v>-0.34821582485778313</v>
      </c>
      <c r="AG4" s="147">
        <v>-0.32649543182209972</v>
      </c>
      <c r="AH4" s="147">
        <v>-0.38234787105671453</v>
      </c>
      <c r="AI4" s="147">
        <v>-0.35545595586967771</v>
      </c>
      <c r="AJ4" s="152">
        <v>-0.25892087571108435</v>
      </c>
    </row>
    <row r="5" spans="2:36" ht="24" customHeight="1">
      <c r="B5" s="51"/>
      <c r="C5" s="50">
        <v>2021</v>
      </c>
      <c r="D5" s="50">
        <v>2022</v>
      </c>
      <c r="E5" s="50">
        <v>2023</v>
      </c>
      <c r="F5" s="50">
        <v>2024</v>
      </c>
      <c r="G5" s="49">
        <v>2025</v>
      </c>
      <c r="J5" s="44" t="s">
        <v>82</v>
      </c>
      <c r="K5" s="192" t="s">
        <v>100</v>
      </c>
      <c r="L5" s="46">
        <v>0</v>
      </c>
      <c r="M5" s="147">
        <v>3.5748331744518601E-2</v>
      </c>
      <c r="N5" s="147">
        <v>7.0781696854146814E-2</v>
      </c>
      <c r="O5" s="147">
        <v>0.26739752144899898</v>
      </c>
      <c r="P5" s="147">
        <v>0.15896091515729283</v>
      </c>
      <c r="Q5" s="147">
        <v>2.3832221163022638E-4</v>
      </c>
      <c r="R5" s="147">
        <v>-0.1163012392755004</v>
      </c>
      <c r="S5" s="147">
        <v>-0.24618684461391793</v>
      </c>
      <c r="T5" s="147">
        <v>-9.8903717826501203E-2</v>
      </c>
      <c r="U5" s="147">
        <v>-6.8875119161105669E-2</v>
      </c>
      <c r="V5" s="147">
        <v>-0.14609151572926593</v>
      </c>
      <c r="W5" s="147">
        <v>-0.10891325071496649</v>
      </c>
      <c r="X5" s="147">
        <v>2.4547187797902881E-2</v>
      </c>
      <c r="Y5" s="147">
        <v>2.5262154432793116E-2</v>
      </c>
      <c r="Z5" s="147">
        <v>1.4299332697806921E-3</v>
      </c>
      <c r="AA5" s="147">
        <v>-3.7178265014299439E-2</v>
      </c>
      <c r="AB5" s="147">
        <v>-0.10557673975214499</v>
      </c>
      <c r="AC5" s="147">
        <v>-0.13941849380362259</v>
      </c>
      <c r="AD5" s="147">
        <v>7.7454718779790266E-2</v>
      </c>
      <c r="AE5" s="147">
        <v>0.14180171591992341</v>
      </c>
      <c r="AF5" s="147">
        <v>0.25357483317445162</v>
      </c>
      <c r="AG5" s="147">
        <v>0.5431363203050521</v>
      </c>
      <c r="AH5" s="147">
        <v>0.74571020019065726</v>
      </c>
      <c r="AI5" s="147">
        <v>0.72259294566253529</v>
      </c>
      <c r="AJ5" s="152">
        <v>0.17302192564346974</v>
      </c>
    </row>
    <row r="6" spans="2:36" ht="24" customHeight="1">
      <c r="B6" s="47" t="s">
        <v>69</v>
      </c>
      <c r="C6" s="138">
        <v>20.119178436378917</v>
      </c>
      <c r="D6" s="139">
        <v>15.69768178363314</v>
      </c>
      <c r="E6" s="139">
        <v>17.162790931382403</v>
      </c>
      <c r="F6" s="139">
        <v>17.819543771924724</v>
      </c>
      <c r="G6" s="140">
        <v>18.639261934318924</v>
      </c>
      <c r="H6" s="1"/>
      <c r="J6" s="43" t="s">
        <v>82</v>
      </c>
      <c r="K6" s="191" t="s">
        <v>98</v>
      </c>
      <c r="L6" s="45">
        <v>0</v>
      </c>
      <c r="M6" s="147">
        <v>-3.5569105691056868E-2</v>
      </c>
      <c r="N6" s="147">
        <v>-0.16361788617886164</v>
      </c>
      <c r="O6" s="147">
        <v>-1.7276422764227584E-2</v>
      </c>
      <c r="P6" s="147">
        <v>-5.4878048780487743E-2</v>
      </c>
      <c r="Q6" s="147">
        <v>-0.36178861788617878</v>
      </c>
      <c r="R6" s="147">
        <v>-0.50813008130081294</v>
      </c>
      <c r="S6" s="147">
        <v>-0.65548780487804881</v>
      </c>
      <c r="T6" s="147">
        <v>-0.60264227642276413</v>
      </c>
      <c r="U6" s="147">
        <v>-0.44512195121951215</v>
      </c>
      <c r="V6" s="147">
        <v>-0.50508130081300806</v>
      </c>
      <c r="W6" s="147">
        <v>-0.2947154471544714</v>
      </c>
      <c r="X6" s="147">
        <v>-0.17581300813008116</v>
      </c>
      <c r="Y6" s="147">
        <v>-0.38617886178861771</v>
      </c>
      <c r="Z6" s="147">
        <v>-0.44410569105691045</v>
      </c>
      <c r="AA6" s="147">
        <v>-0.4989837398373983</v>
      </c>
      <c r="AB6" s="147">
        <v>-0.59949186991869907</v>
      </c>
      <c r="AC6" s="147">
        <v>-0.63109756097560976</v>
      </c>
      <c r="AD6" s="147">
        <v>-0.45630081300813008</v>
      </c>
      <c r="AE6" s="147">
        <v>-0.38211382113821135</v>
      </c>
      <c r="AF6" s="147">
        <v>-0.40752032520325199</v>
      </c>
      <c r="AG6" s="147">
        <v>-0.27743902439024382</v>
      </c>
      <c r="AH6" s="147">
        <v>-0.14329268292682917</v>
      </c>
      <c r="AI6" s="147">
        <v>-0.26829268292682917</v>
      </c>
      <c r="AJ6" s="152">
        <v>-0.55894308943089421</v>
      </c>
    </row>
    <row r="7" spans="2:36" ht="24" customHeight="1">
      <c r="B7" s="47" t="s">
        <v>70</v>
      </c>
      <c r="C7" s="141">
        <v>12.336164617243586</v>
      </c>
      <c r="D7" s="142">
        <v>10.623217967276396</v>
      </c>
      <c r="E7" s="142">
        <v>11.267348358912901</v>
      </c>
      <c r="F7" s="142">
        <v>10.797345556291878</v>
      </c>
      <c r="G7" s="143">
        <v>10.401212230866653</v>
      </c>
      <c r="H7" s="1"/>
      <c r="J7" s="44" t="s">
        <v>83</v>
      </c>
      <c r="K7" s="192" t="s">
        <v>100</v>
      </c>
      <c r="L7" s="46">
        <v>0</v>
      </c>
      <c r="M7" s="147">
        <v>6.9783670621070826E-4</v>
      </c>
      <c r="N7" s="147">
        <v>-2.2563386834147492E-2</v>
      </c>
      <c r="O7" s="147">
        <v>-6.0246568969527847E-2</v>
      </c>
      <c r="P7" s="147">
        <v>-0.1270062805303559</v>
      </c>
      <c r="Q7" s="147">
        <v>-0.16003721795766457</v>
      </c>
      <c r="R7" s="147">
        <v>5.1639916259595298E-2</v>
      </c>
      <c r="S7" s="147">
        <v>0.11444521981856237</v>
      </c>
      <c r="T7" s="147">
        <v>0.22354035822284257</v>
      </c>
      <c r="U7" s="147">
        <v>0.50616422423819496</v>
      </c>
      <c r="V7" s="147">
        <v>0.70388462433123977</v>
      </c>
      <c r="W7" s="147">
        <v>0.68132123749709228</v>
      </c>
      <c r="X7" s="147">
        <v>0.14491742265643159</v>
      </c>
      <c r="Y7" s="147">
        <v>2.9774366131658514E-2</v>
      </c>
      <c r="Z7" s="147">
        <v>0.18469411491044418</v>
      </c>
      <c r="AA7" s="147">
        <v>0.15096534077692469</v>
      </c>
      <c r="AB7" s="147">
        <v>0.23191439869737152</v>
      </c>
      <c r="AC7" s="147">
        <v>0.46033961386368927</v>
      </c>
      <c r="AD7" s="147">
        <v>0.15794370783903244</v>
      </c>
      <c r="AE7" s="147">
        <v>-2.9309141660851412E-2</v>
      </c>
      <c r="AF7" s="147">
        <v>-3.0239590602464395E-3</v>
      </c>
      <c r="AG7" s="147">
        <v>0.17003954408001865</v>
      </c>
      <c r="AH7" s="147">
        <v>0.18236799255640834</v>
      </c>
      <c r="AI7" s="147">
        <v>0.20027913468248437</v>
      </c>
      <c r="AJ7" s="152">
        <v>-0.14445219818562449</v>
      </c>
    </row>
    <row r="8" spans="2:36" ht="24" customHeight="1">
      <c r="B8" s="47" t="s">
        <v>71</v>
      </c>
      <c r="C8" s="141">
        <v>3.9400551217271471</v>
      </c>
      <c r="D8" s="142">
        <v>4.5476119845743108</v>
      </c>
      <c r="E8" s="142">
        <v>6.8081848552338533</v>
      </c>
      <c r="F8" s="142">
        <v>7.7576002152273338</v>
      </c>
      <c r="G8" s="143">
        <v>7.963465014200878</v>
      </c>
      <c r="J8" s="43" t="s">
        <v>83</v>
      </c>
      <c r="K8" s="191" t="s">
        <v>101</v>
      </c>
      <c r="L8" s="45">
        <v>0</v>
      </c>
      <c r="M8" s="147">
        <v>-0.27462044874378611</v>
      </c>
      <c r="N8" s="147">
        <v>-0.29275829638586592</v>
      </c>
      <c r="O8" s="147">
        <v>-0.32513771328765295</v>
      </c>
      <c r="P8" s="147">
        <v>-0.24667472793228551</v>
      </c>
      <c r="Q8" s="147">
        <v>-0.43463657127502364</v>
      </c>
      <c r="R8" s="147">
        <v>-0.26024452505710072</v>
      </c>
      <c r="S8" s="147">
        <v>-0.12656187021362364</v>
      </c>
      <c r="T8" s="147">
        <v>9.9556630390971179E-2</v>
      </c>
      <c r="U8" s="147">
        <v>0.2645438667204083</v>
      </c>
      <c r="V8" s="147">
        <v>0.37619239553943284</v>
      </c>
      <c r="W8" s="147">
        <v>-1.2494961708988561E-2</v>
      </c>
      <c r="X8" s="147">
        <v>-0.30605938465672455</v>
      </c>
      <c r="Y8" s="147">
        <v>-0.36947467419051472</v>
      </c>
      <c r="Z8" s="147">
        <v>-0.25325809485422557</v>
      </c>
      <c r="AA8" s="147">
        <v>-0.26172242375386279</v>
      </c>
      <c r="AB8" s="147">
        <v>-0.30619373908370295</v>
      </c>
      <c r="AC8" s="147">
        <v>-0.15813516055354049</v>
      </c>
      <c r="AD8" s="147">
        <v>-0.18352814725245215</v>
      </c>
      <c r="AE8" s="147">
        <v>-0.16458417304850226</v>
      </c>
      <c r="AF8" s="147">
        <v>2.1093645035603403E-2</v>
      </c>
      <c r="AG8" s="147">
        <v>0.14564019884455148</v>
      </c>
      <c r="AH8" s="147">
        <v>0.19078328630928332</v>
      </c>
      <c r="AI8" s="147">
        <v>0.37243047158403808</v>
      </c>
      <c r="AJ8" s="152">
        <v>8.8808276232701377E-2</v>
      </c>
    </row>
    <row r="9" spans="2:36" ht="24" customHeight="1">
      <c r="B9" s="47" t="s">
        <v>72</v>
      </c>
      <c r="C9" s="141">
        <v>6.5058259247595744</v>
      </c>
      <c r="D9" s="142">
        <v>5.2058562571515576</v>
      </c>
      <c r="E9" s="142">
        <v>5.7313207443304046</v>
      </c>
      <c r="F9" s="142">
        <v>4.8005814576585832</v>
      </c>
      <c r="G9" s="143">
        <v>5.0075396627710935</v>
      </c>
      <c r="J9" s="44" t="s">
        <v>84</v>
      </c>
      <c r="K9" s="190" t="s">
        <v>101</v>
      </c>
      <c r="L9" s="42">
        <v>0</v>
      </c>
      <c r="M9" s="147">
        <v>-9.1384317521781222E-2</v>
      </c>
      <c r="N9" s="147">
        <v>7.6089060987415413E-2</v>
      </c>
      <c r="O9" s="147">
        <v>6.3891577928364196E-2</v>
      </c>
      <c r="P9" s="147">
        <v>-1.9361084220703706E-4</v>
      </c>
      <c r="Q9" s="147">
        <v>0.21316553727008714</v>
      </c>
      <c r="R9" s="147">
        <v>0.17657308809293326</v>
      </c>
      <c r="S9" s="147">
        <v>0.20387221684414314</v>
      </c>
      <c r="T9" s="147">
        <v>0.4714424007744431</v>
      </c>
      <c r="U9" s="147">
        <v>0.65091965150048381</v>
      </c>
      <c r="V9" s="147">
        <v>0.71597289448209067</v>
      </c>
      <c r="W9" s="147">
        <v>0.97773475314617597</v>
      </c>
      <c r="X9" s="147">
        <v>0.56902226524685373</v>
      </c>
      <c r="Y9" s="147">
        <v>0.46447241045498533</v>
      </c>
      <c r="Z9" s="147">
        <v>0.77366892545982546</v>
      </c>
      <c r="AJ9" s="41"/>
    </row>
    <row r="10" spans="2:36" ht="24" customHeight="1" thickBot="1">
      <c r="B10" s="63" t="s">
        <v>75</v>
      </c>
      <c r="C10" s="141">
        <v>9.2202252774556896</v>
      </c>
      <c r="D10" s="142">
        <v>10.442236296134526</v>
      </c>
      <c r="E10" s="142">
        <v>12.394435777431097</v>
      </c>
      <c r="F10" s="142">
        <v>13.452958292919496</v>
      </c>
      <c r="G10" s="143">
        <v>14.500110350915913</v>
      </c>
      <c r="J10" s="43" t="s">
        <v>84</v>
      </c>
      <c r="K10" s="190" t="s">
        <v>100</v>
      </c>
      <c r="L10" s="42">
        <v>0</v>
      </c>
      <c r="M10" s="147">
        <v>-0.10056887444128393</v>
      </c>
      <c r="N10" s="147">
        <v>3.474197480698904E-2</v>
      </c>
      <c r="O10" s="147">
        <v>5.2824055262088443E-3</v>
      </c>
      <c r="P10" s="147">
        <v>7.5985371800081358E-2</v>
      </c>
      <c r="Q10" s="147">
        <v>0.27549776513612367</v>
      </c>
      <c r="R10" s="147">
        <v>1.1377488825680793E-2</v>
      </c>
      <c r="S10" s="147">
        <v>-0.15217391304347827</v>
      </c>
      <c r="T10" s="147">
        <v>-0.12921576594880113</v>
      </c>
      <c r="U10" s="147">
        <v>2.1942299878098481E-2</v>
      </c>
      <c r="V10" s="147">
        <v>3.2710280373831946E-2</v>
      </c>
      <c r="W10" s="147">
        <v>4.8354327509142925E-2</v>
      </c>
      <c r="X10" s="147">
        <v>-0.25274278748476209</v>
      </c>
      <c r="Y10" s="147">
        <v>-0.20540430719219804</v>
      </c>
      <c r="Z10" s="147">
        <v>-6.5014221861031785E-2</v>
      </c>
      <c r="AA10" s="153"/>
      <c r="AB10" s="153"/>
      <c r="AC10" s="153"/>
      <c r="AD10" s="153"/>
      <c r="AE10" s="153"/>
      <c r="AF10" s="153"/>
      <c r="AG10" s="153"/>
      <c r="AH10" s="153"/>
      <c r="AI10" s="153"/>
      <c r="AJ10" s="154"/>
    </row>
    <row r="11" spans="2:36" ht="24" customHeight="1" thickBot="1">
      <c r="B11" s="47" t="s">
        <v>76</v>
      </c>
      <c r="C11" s="141">
        <v>3.9551083591331269</v>
      </c>
      <c r="D11" s="142">
        <v>3.1636382623224728</v>
      </c>
      <c r="E11" s="142">
        <v>4.0021929824561404</v>
      </c>
      <c r="F11" s="142">
        <v>5.1489028213166144</v>
      </c>
      <c r="G11" s="143">
        <v>5.2644230769230775</v>
      </c>
      <c r="J11" s="216" t="s">
        <v>58</v>
      </c>
      <c r="K11" s="217"/>
      <c r="L11" s="40">
        <v>0</v>
      </c>
      <c r="M11" s="39">
        <f t="shared" ref="M11:AJ11" si="0">AVERAGE(M3:M10)</f>
        <v>-7.3955964286236839E-2</v>
      </c>
      <c r="N11" s="39">
        <f t="shared" si="0"/>
        <v>-6.4574104198623181E-2</v>
      </c>
      <c r="O11" s="39">
        <f t="shared" si="0"/>
        <v>-6.8585381174923035E-2</v>
      </c>
      <c r="P11" s="39">
        <f t="shared" si="0"/>
        <v>-1.8950605412975982E-2</v>
      </c>
      <c r="Q11" s="39">
        <f t="shared" si="0"/>
        <v>-7.2260699803519707E-2</v>
      </c>
      <c r="R11" s="39">
        <f t="shared" si="0"/>
        <v>-0.13925844432482243</v>
      </c>
      <c r="S11" s="39">
        <f t="shared" si="0"/>
        <v>-0.11732104779554722</v>
      </c>
      <c r="T11" s="39">
        <f t="shared" si="0"/>
        <v>-8.4381989311752004E-3</v>
      </c>
      <c r="U11" s="39">
        <f t="shared" si="0"/>
        <v>7.202915592231747E-2</v>
      </c>
      <c r="V11" s="39">
        <f t="shared" si="0"/>
        <v>0.14661672112372684</v>
      </c>
      <c r="W11" s="39">
        <f t="shared" si="0"/>
        <v>0.14421900156182649</v>
      </c>
      <c r="X11" s="39">
        <f t="shared" si="0"/>
        <v>-5.0539250887421727E-2</v>
      </c>
      <c r="Y11" s="39">
        <f t="shared" si="0"/>
        <v>-0.10684605532281882</v>
      </c>
      <c r="Z11" s="39">
        <f t="shared" si="0"/>
        <v>-3.7709160648936021E-2</v>
      </c>
      <c r="AA11" s="39">
        <f t="shared" si="0"/>
        <v>-0.1461157124932809</v>
      </c>
      <c r="AB11" s="39">
        <f t="shared" si="0"/>
        <v>-0.18670242559028449</v>
      </c>
      <c r="AC11" s="39">
        <f t="shared" si="0"/>
        <v>-0.1984224969515406</v>
      </c>
      <c r="AD11" s="39">
        <f t="shared" si="0"/>
        <v>-0.22300765495251409</v>
      </c>
      <c r="AE11" s="39">
        <f t="shared" si="0"/>
        <v>-0.26495815873051481</v>
      </c>
      <c r="AF11" s="39">
        <f t="shared" si="0"/>
        <v>-0.18983168841165335</v>
      </c>
      <c r="AG11" s="39">
        <f t="shared" si="0"/>
        <v>-4.3868658318538235E-2</v>
      </c>
      <c r="AH11" s="39">
        <f t="shared" si="0"/>
        <v>3.8422047819194893E-3</v>
      </c>
      <c r="AI11" s="39">
        <f t="shared" si="0"/>
        <v>4.7347835183757091E-2</v>
      </c>
      <c r="AJ11" s="38">
        <f t="shared" si="0"/>
        <v>-0.16411453285149627</v>
      </c>
    </row>
    <row r="12" spans="2:36" ht="24" customHeight="1">
      <c r="B12" s="64" t="s">
        <v>74</v>
      </c>
      <c r="C12" s="141">
        <v>12.475904044550743</v>
      </c>
      <c r="D12" s="142">
        <v>8.9584213243230568</v>
      </c>
      <c r="E12" s="142">
        <v>9.8427463337777237</v>
      </c>
      <c r="F12" s="142">
        <v>10.963977139338427</v>
      </c>
      <c r="G12" s="143">
        <v>10.555964382956804</v>
      </c>
    </row>
    <row r="13" spans="2:36" ht="24" customHeight="1" thickBot="1">
      <c r="B13" s="65" t="s">
        <v>73</v>
      </c>
      <c r="C13" s="144">
        <v>11.922143290615072</v>
      </c>
      <c r="D13" s="145">
        <v>9.8093604143134208</v>
      </c>
      <c r="E13" s="145">
        <v>9.5129171664096557</v>
      </c>
      <c r="F13" s="145">
        <v>8.9925064692351917</v>
      </c>
      <c r="G13" s="146">
        <v>9.6067654930311779</v>
      </c>
    </row>
    <row r="14" spans="2:36" ht="24" customHeight="1" thickBot="1"/>
    <row r="15" spans="2:36" ht="24" customHeight="1" thickBot="1">
      <c r="B15" s="51"/>
      <c r="C15" s="50">
        <v>2021</v>
      </c>
      <c r="D15" s="50">
        <v>2022</v>
      </c>
      <c r="E15" s="50">
        <v>2023</v>
      </c>
      <c r="F15" s="50">
        <v>2024</v>
      </c>
      <c r="G15" s="49">
        <v>2025</v>
      </c>
      <c r="J15" s="228" t="s">
        <v>59</v>
      </c>
      <c r="K15" s="229"/>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8</v>
      </c>
      <c r="D16" s="84">
        <v>8</v>
      </c>
      <c r="E16" s="84">
        <v>8</v>
      </c>
      <c r="F16" s="84">
        <v>8</v>
      </c>
      <c r="G16" s="85">
        <v>8</v>
      </c>
      <c r="J16" s="48" t="s">
        <v>81</v>
      </c>
      <c r="K16" s="193" t="s">
        <v>96</v>
      </c>
      <c r="L16" s="42">
        <v>0</v>
      </c>
      <c r="M16" s="147">
        <v>8.9301121656600424E-2</v>
      </c>
      <c r="N16" s="147">
        <v>2.7394305435720412E-2</v>
      </c>
      <c r="O16" s="147">
        <v>-0.235979292493529</v>
      </c>
      <c r="P16" s="147">
        <v>-0.20729076790336509</v>
      </c>
      <c r="Q16" s="147">
        <v>-0.24482312338222623</v>
      </c>
      <c r="R16" s="147">
        <v>-0.29831751509922355</v>
      </c>
      <c r="S16" s="147">
        <v>-7.0750647109577458E-2</v>
      </c>
      <c r="T16" s="147">
        <v>-4.7238999137187432E-2</v>
      </c>
      <c r="U16" s="147">
        <v>-0.1867989646246766</v>
      </c>
      <c r="V16" s="147">
        <v>5.6082830025884212E-2</v>
      </c>
      <c r="W16" s="147">
        <v>0.12079378774805849</v>
      </c>
      <c r="X16" s="147">
        <v>-4.5513373597929396E-2</v>
      </c>
      <c r="Y16" s="147">
        <v>-5.5220017256255582E-2</v>
      </c>
      <c r="Z16" s="147">
        <v>2.3943054357204119E-2</v>
      </c>
      <c r="AA16" s="147">
        <v>0.18356341673856713</v>
      </c>
      <c r="AB16" s="147">
        <v>0.17148403796376144</v>
      </c>
      <c r="AC16" s="147">
        <v>7.441760138050002E-2</v>
      </c>
      <c r="AD16" s="147">
        <v>-8.7575496117342944E-2</v>
      </c>
      <c r="AE16" s="147">
        <v>-0.24482312338222634</v>
      </c>
      <c r="AF16" s="147">
        <v>-0.15012942191544465</v>
      </c>
      <c r="AG16" s="147">
        <v>-0.11000862812769663</v>
      </c>
      <c r="AH16" s="147">
        <v>-0.10742018981880963</v>
      </c>
      <c r="AI16" s="147">
        <v>-1.87661777394309E-2</v>
      </c>
      <c r="AJ16" s="152">
        <v>3.2786885245901232E-2</v>
      </c>
    </row>
    <row r="17" spans="2:36" ht="24" customHeight="1">
      <c r="B17" s="47" t="s">
        <v>70</v>
      </c>
      <c r="C17" s="84">
        <v>6</v>
      </c>
      <c r="D17" s="84">
        <v>7</v>
      </c>
      <c r="E17" s="84">
        <v>6</v>
      </c>
      <c r="F17" s="84">
        <v>5</v>
      </c>
      <c r="G17" s="85">
        <v>5</v>
      </c>
      <c r="J17" s="43" t="s">
        <v>81</v>
      </c>
      <c r="K17" s="194" t="s">
        <v>104</v>
      </c>
      <c r="L17" s="45">
        <v>0</v>
      </c>
      <c r="M17" s="147">
        <v>2.8493150684931523E-2</v>
      </c>
      <c r="N17" s="147">
        <v>-2.082191780821907E-2</v>
      </c>
      <c r="O17" s="147">
        <v>-0.30520547945205467</v>
      </c>
      <c r="P17" s="147">
        <v>-0.24876712328767103</v>
      </c>
      <c r="Q17" s="147">
        <v>-0.28821917808219166</v>
      </c>
      <c r="R17" s="147">
        <v>-0.34027397260273973</v>
      </c>
      <c r="S17" s="147">
        <v>-0.22301369863013698</v>
      </c>
      <c r="T17" s="147">
        <v>-0.20931506849315062</v>
      </c>
      <c r="U17" s="147">
        <v>-0.30301369863013694</v>
      </c>
      <c r="V17" s="147">
        <v>-0.11561643835616431</v>
      </c>
      <c r="W17" s="147">
        <v>-0.12438356164383557</v>
      </c>
      <c r="X17" s="147">
        <v>-0.19178082191780821</v>
      </c>
      <c r="Y17" s="147">
        <v>-0.25260273972602731</v>
      </c>
      <c r="Z17" s="147">
        <v>-0.19013698630136988</v>
      </c>
      <c r="AA17" s="147">
        <v>-1.69863013698629E-2</v>
      </c>
      <c r="AB17" s="147">
        <v>-8.2191780821917693E-2</v>
      </c>
      <c r="AC17" s="147">
        <v>-0.19287671232876702</v>
      </c>
      <c r="AD17" s="147">
        <v>-0.29808219178082185</v>
      </c>
      <c r="AE17" s="147">
        <v>-0.38904109589041092</v>
      </c>
      <c r="AF17" s="147">
        <v>-0.31890410958904114</v>
      </c>
      <c r="AG17" s="147">
        <v>-0.24712328767123293</v>
      </c>
      <c r="AH17" s="147">
        <v>-0.22027397260273973</v>
      </c>
      <c r="AI17" s="147">
        <v>-0.14082191780821918</v>
      </c>
      <c r="AJ17" s="152">
        <v>-0.15890410958904111</v>
      </c>
    </row>
    <row r="18" spans="2:36" ht="24" customHeight="1">
      <c r="B18" s="47" t="s">
        <v>71</v>
      </c>
      <c r="C18" s="86">
        <v>1</v>
      </c>
      <c r="D18" s="86">
        <v>2</v>
      </c>
      <c r="E18" s="86">
        <v>3</v>
      </c>
      <c r="F18" s="86">
        <v>3</v>
      </c>
      <c r="G18" s="87">
        <v>3</v>
      </c>
      <c r="J18" s="44" t="s">
        <v>82</v>
      </c>
      <c r="K18" s="195" t="s">
        <v>99</v>
      </c>
      <c r="L18" s="46">
        <v>0</v>
      </c>
      <c r="M18" s="147">
        <v>-6.4026402640264046E-2</v>
      </c>
      <c r="N18" s="147">
        <v>-7.7227722772277185E-2</v>
      </c>
      <c r="O18" s="147">
        <v>0.11881188118811892</v>
      </c>
      <c r="P18" s="147">
        <v>6.1056105610561184E-2</v>
      </c>
      <c r="Q18" s="147">
        <v>-1.848184818481835E-2</v>
      </c>
      <c r="R18" s="147">
        <v>-0.15907590759075896</v>
      </c>
      <c r="S18" s="147">
        <v>-0.30561056105610551</v>
      </c>
      <c r="T18" s="147">
        <v>-0.20132013201320109</v>
      </c>
      <c r="U18" s="147">
        <v>-9.7689768976897406E-2</v>
      </c>
      <c r="V18" s="147">
        <v>-6.0396039603960117E-2</v>
      </c>
      <c r="W18" s="147">
        <v>7.7227722772277518E-2</v>
      </c>
      <c r="X18" s="147">
        <v>-8.2508250825082285E-2</v>
      </c>
      <c r="Y18" s="147">
        <v>-0.18052805280528039</v>
      </c>
      <c r="Z18" s="147">
        <v>-0.15181518151815154</v>
      </c>
      <c r="AA18" s="147">
        <v>-9.6039603960395792E-2</v>
      </c>
      <c r="AB18" s="147">
        <v>-0.14356435643564336</v>
      </c>
      <c r="AC18" s="147">
        <v>-8.0528052805280192E-2</v>
      </c>
      <c r="AD18" s="147">
        <v>-5.77557755775574E-2</v>
      </c>
      <c r="AE18" s="147">
        <v>-2.1782178217821357E-2</v>
      </c>
      <c r="AF18" s="147">
        <v>3.5313531353135641E-2</v>
      </c>
      <c r="AG18" s="147">
        <v>7.5577557755776015E-2</v>
      </c>
      <c r="AH18" s="147">
        <v>-1.2541254125412182E-2</v>
      </c>
      <c r="AI18" s="147">
        <v>-9.9009900990065791E-4</v>
      </c>
      <c r="AJ18" s="152">
        <v>7.9867986798680013E-2</v>
      </c>
    </row>
    <row r="19" spans="2:36" ht="24" customHeight="1">
      <c r="B19" s="47" t="s">
        <v>72</v>
      </c>
      <c r="C19" s="86">
        <v>3</v>
      </c>
      <c r="D19" s="86">
        <v>3</v>
      </c>
      <c r="E19" s="86">
        <v>2</v>
      </c>
      <c r="F19" s="86">
        <v>1</v>
      </c>
      <c r="G19" s="87">
        <v>1</v>
      </c>
      <c r="J19" s="43" t="s">
        <v>82</v>
      </c>
      <c r="K19" s="194" t="s">
        <v>104</v>
      </c>
      <c r="L19" s="45">
        <v>0</v>
      </c>
      <c r="M19" s="147">
        <v>-7.5254237288135517E-2</v>
      </c>
      <c r="N19" s="147">
        <v>2.0338983050847137E-3</v>
      </c>
      <c r="O19" s="147">
        <v>0.21627118644067811</v>
      </c>
      <c r="P19" s="147">
        <v>0.13559322033898313</v>
      </c>
      <c r="Q19" s="147">
        <v>-1.3559322033896981E-3</v>
      </c>
      <c r="R19" s="147">
        <v>-0.13152542372881337</v>
      </c>
      <c r="S19" s="147">
        <v>-0.24406779661016931</v>
      </c>
      <c r="T19" s="147">
        <v>-0.15728813559322019</v>
      </c>
      <c r="U19" s="147">
        <v>-6.847457627118636E-2</v>
      </c>
      <c r="V19" s="147">
        <v>-3.5254237288135482E-2</v>
      </c>
      <c r="W19" s="147">
        <v>6.3050847457627235E-2</v>
      </c>
      <c r="X19" s="147">
        <v>4.067796610169494E-2</v>
      </c>
      <c r="Y19" s="147">
        <v>-8.4067796610169498E-2</v>
      </c>
      <c r="Z19" s="147">
        <v>-0.22033898305084754</v>
      </c>
      <c r="AA19" s="147">
        <v>-0.23186440677966114</v>
      </c>
      <c r="AB19" s="147">
        <v>-0.27864406779661022</v>
      </c>
      <c r="AC19" s="147">
        <v>-0.28000000000000014</v>
      </c>
      <c r="AD19" s="147">
        <v>-0.23796610169491528</v>
      </c>
      <c r="AE19" s="147">
        <v>-9.152542372881356E-2</v>
      </c>
      <c r="AF19" s="147">
        <v>-1.5593220338983027E-2</v>
      </c>
      <c r="AG19" s="147">
        <v>0.18169491525423731</v>
      </c>
      <c r="AH19" s="147">
        <v>0.14711864406779673</v>
      </c>
      <c r="AI19" s="147">
        <v>-2.7118644067796627E-2</v>
      </c>
      <c r="AJ19" s="152">
        <v>-0.28474576271186436</v>
      </c>
    </row>
    <row r="20" spans="2:36" ht="24" customHeight="1">
      <c r="B20" s="63" t="s">
        <v>75</v>
      </c>
      <c r="C20" s="88">
        <v>4</v>
      </c>
      <c r="D20" s="89">
        <v>6</v>
      </c>
      <c r="E20" s="89">
        <v>7</v>
      </c>
      <c r="F20" s="89">
        <v>7</v>
      </c>
      <c r="G20" s="90">
        <v>7</v>
      </c>
      <c r="J20" s="44" t="s">
        <v>83</v>
      </c>
      <c r="K20" s="195" t="s">
        <v>97</v>
      </c>
      <c r="L20" s="46">
        <v>0</v>
      </c>
      <c r="M20" s="147">
        <v>-0.23450134770889486</v>
      </c>
      <c r="N20" s="147">
        <v>-0.24663072776280315</v>
      </c>
      <c r="O20" s="147">
        <v>-0.17924528301886788</v>
      </c>
      <c r="P20" s="147">
        <v>-0.1361185983827492</v>
      </c>
      <c r="Q20" s="147">
        <v>-0.3153638814016172</v>
      </c>
      <c r="R20" s="147">
        <v>-0.11590296495956875</v>
      </c>
      <c r="S20" s="147">
        <v>-0.2318059299191374</v>
      </c>
      <c r="T20" s="147">
        <v>-0.19541778975741242</v>
      </c>
      <c r="U20" s="147">
        <v>5.9299191374663218E-2</v>
      </c>
      <c r="V20" s="147">
        <v>-0.11320754716981118</v>
      </c>
      <c r="W20" s="147">
        <v>-0.12129380053908345</v>
      </c>
      <c r="X20" s="147">
        <v>-0.3504043126684635</v>
      </c>
      <c r="Y20" s="147">
        <v>-0.41239892183288396</v>
      </c>
      <c r="Z20" s="147">
        <v>-0.31940700808625333</v>
      </c>
      <c r="AA20" s="147">
        <v>-0.42991913746630717</v>
      </c>
      <c r="AB20" s="147">
        <v>-0.40161725067385434</v>
      </c>
      <c r="AC20" s="147">
        <v>-0.27897574123989222</v>
      </c>
      <c r="AD20" s="147">
        <v>-0.33692722371967654</v>
      </c>
      <c r="AE20" s="147">
        <v>-0.4339622641509433</v>
      </c>
      <c r="AF20" s="147">
        <v>-0.38409703504043113</v>
      </c>
      <c r="AG20" s="147">
        <v>-0.38679245283018859</v>
      </c>
      <c r="AH20" s="147">
        <v>-0.34366576819407002</v>
      </c>
      <c r="AI20" s="147">
        <v>-0.25336927223719674</v>
      </c>
      <c r="AJ20" s="152">
        <v>-0.4043126684636118</v>
      </c>
    </row>
    <row r="21" spans="2:36" ht="24" customHeight="1">
      <c r="B21" s="47" t="s">
        <v>76</v>
      </c>
      <c r="C21" s="91">
        <v>2</v>
      </c>
      <c r="D21" s="91">
        <v>1</v>
      </c>
      <c r="E21" s="84">
        <v>1</v>
      </c>
      <c r="F21" s="84">
        <v>2</v>
      </c>
      <c r="G21" s="85">
        <v>2</v>
      </c>
      <c r="J21" s="43" t="s">
        <v>83</v>
      </c>
      <c r="K21" s="194" t="s">
        <v>104</v>
      </c>
      <c r="L21" s="45">
        <v>0</v>
      </c>
      <c r="M21" s="147">
        <v>-0.11986970684039089</v>
      </c>
      <c r="N21" s="147">
        <v>-0.250814332247557</v>
      </c>
      <c r="O21" s="147">
        <v>-0.26188925081433223</v>
      </c>
      <c r="P21" s="147">
        <v>-0.30684039087947879</v>
      </c>
      <c r="Q21" s="147">
        <v>-0.30814332247557008</v>
      </c>
      <c r="R21" s="147">
        <v>-0.26775244299674261</v>
      </c>
      <c r="S21" s="147">
        <v>-0.12703583061889245</v>
      </c>
      <c r="T21" s="147">
        <v>-5.4071661237784951E-2</v>
      </c>
      <c r="U21" s="147">
        <v>0.13550488599348531</v>
      </c>
      <c r="V21" s="147">
        <v>0.10228013029315974</v>
      </c>
      <c r="W21" s="147">
        <v>-6.514657980456029E-2</v>
      </c>
      <c r="X21" s="147">
        <v>-0.31270358306188917</v>
      </c>
      <c r="Y21" s="147">
        <v>-0.35179153094462545</v>
      </c>
      <c r="Z21" s="147">
        <v>-0.25667752442996739</v>
      </c>
      <c r="AA21" s="147">
        <v>-0.2690553745928338</v>
      </c>
      <c r="AB21" s="147">
        <v>-0.25146579804560265</v>
      </c>
      <c r="AC21" s="147">
        <v>-0.12899022801302951</v>
      </c>
      <c r="AD21" s="147">
        <v>-0.26775244299674283</v>
      </c>
      <c r="AE21" s="147">
        <v>-0.14462540716612382</v>
      </c>
      <c r="AF21" s="147">
        <v>-8.4690553745928376E-2</v>
      </c>
      <c r="AG21" s="147">
        <v>-1.3029315960914056E-3</v>
      </c>
      <c r="AH21" s="147">
        <v>-0.13355048859934859</v>
      </c>
      <c r="AI21" s="147">
        <v>-0.14853420195439748</v>
      </c>
      <c r="AJ21" s="152">
        <v>-0.30032573289902287</v>
      </c>
    </row>
    <row r="22" spans="2:36" ht="24" customHeight="1">
      <c r="B22" s="64" t="s">
        <v>74</v>
      </c>
      <c r="C22" s="92">
        <v>7</v>
      </c>
      <c r="D22" s="92">
        <v>4</v>
      </c>
      <c r="E22" s="92">
        <v>5</v>
      </c>
      <c r="F22" s="92">
        <v>6</v>
      </c>
      <c r="G22" s="93">
        <v>6</v>
      </c>
      <c r="J22" s="44" t="s">
        <v>84</v>
      </c>
      <c r="K22" s="193" t="s">
        <v>97</v>
      </c>
      <c r="L22" s="42">
        <v>0</v>
      </c>
      <c r="M22" s="147">
        <v>-9.5435684647302899E-2</v>
      </c>
      <c r="N22" s="147">
        <v>4.7717842323651283E-2</v>
      </c>
      <c r="O22" s="147">
        <v>-0.12240663900414939</v>
      </c>
      <c r="P22" s="147">
        <v>-7.8838174273858974E-2</v>
      </c>
      <c r="Q22" s="147">
        <v>0.10995850622406622</v>
      </c>
      <c r="R22" s="147">
        <v>2.0746887966804906E-2</v>
      </c>
      <c r="S22" s="147">
        <v>-0.12863070539419086</v>
      </c>
      <c r="T22" s="147">
        <v>-5.1867219917012375E-2</v>
      </c>
      <c r="U22" s="147">
        <v>-5.6016597510373467E-2</v>
      </c>
      <c r="V22" s="147">
        <v>1.0373443983402453E-2</v>
      </c>
      <c r="W22" s="147">
        <v>0.14937759336099576</v>
      </c>
      <c r="X22" s="147">
        <v>-8.2987551867219955E-2</v>
      </c>
      <c r="Y22" s="147">
        <v>-3.319502074688796E-2</v>
      </c>
      <c r="Z22" s="147">
        <v>0.13278008298755184</v>
      </c>
      <c r="AJ22" s="41"/>
    </row>
    <row r="23" spans="2:36" ht="24" customHeight="1" thickBot="1">
      <c r="B23" s="65" t="s">
        <v>73</v>
      </c>
      <c r="C23" s="94">
        <v>5</v>
      </c>
      <c r="D23" s="94">
        <v>5</v>
      </c>
      <c r="E23" s="94">
        <v>4</v>
      </c>
      <c r="F23" s="94">
        <v>4</v>
      </c>
      <c r="G23" s="95">
        <v>4</v>
      </c>
      <c r="J23" s="43" t="s">
        <v>84</v>
      </c>
      <c r="K23" s="193" t="s">
        <v>104</v>
      </c>
      <c r="L23" s="42">
        <v>0</v>
      </c>
      <c r="M23" s="147">
        <v>-5.6872037914692086E-2</v>
      </c>
      <c r="N23" s="147">
        <v>8.1516587677725072E-2</v>
      </c>
      <c r="O23" s="147">
        <v>6.3507109004739437E-2</v>
      </c>
      <c r="P23" s="147">
        <v>8.9099526066350743E-2</v>
      </c>
      <c r="Q23" s="147">
        <v>0.26729857819905201</v>
      </c>
      <c r="R23" s="147">
        <v>6.5402843601895633E-2</v>
      </c>
      <c r="S23" s="147">
        <v>0.24454976303317544</v>
      </c>
      <c r="T23" s="147">
        <v>0.33175355450236976</v>
      </c>
      <c r="U23" s="147">
        <v>0.45308056872037894</v>
      </c>
      <c r="V23" s="147">
        <v>0.26066350710900466</v>
      </c>
      <c r="W23" s="147">
        <v>0.23886255924170596</v>
      </c>
      <c r="X23" s="147">
        <v>1.8009478672985635E-2</v>
      </c>
      <c r="Y23" s="147">
        <v>0.10995260663507089</v>
      </c>
      <c r="Z23" s="147">
        <v>0.38767772511848309</v>
      </c>
      <c r="AA23" s="153"/>
      <c r="AB23" s="153"/>
      <c r="AC23" s="153"/>
      <c r="AD23" s="153"/>
      <c r="AE23" s="153"/>
      <c r="AF23" s="153"/>
      <c r="AG23" s="153"/>
      <c r="AH23" s="153"/>
      <c r="AI23" s="153"/>
      <c r="AJ23" s="154"/>
    </row>
    <row r="24" spans="2:36" ht="24" customHeight="1" thickBot="1">
      <c r="J24" s="216" t="s">
        <v>58</v>
      </c>
      <c r="K24" s="217"/>
      <c r="L24" s="40">
        <v>0</v>
      </c>
      <c r="M24" s="39">
        <f>AVERAGE(M16:M23)</f>
        <v>-6.6020643087268543E-2</v>
      </c>
      <c r="N24" s="39">
        <f t="shared" ref="N24:AJ24" si="1">AVERAGE(N16:N23)</f>
        <v>-5.4604008356084366E-2</v>
      </c>
      <c r="O24" s="39">
        <f t="shared" si="1"/>
        <v>-8.8266971018674589E-2</v>
      </c>
      <c r="P24" s="39">
        <f t="shared" si="1"/>
        <v>-8.6513275338903503E-2</v>
      </c>
      <c r="Q24" s="39">
        <f t="shared" si="1"/>
        <v>-9.9891275163336873E-2</v>
      </c>
      <c r="R24" s="39">
        <f t="shared" si="1"/>
        <v>-0.1533373119261433</v>
      </c>
      <c r="S24" s="39">
        <f t="shared" si="1"/>
        <v>-0.13579567578812934</v>
      </c>
      <c r="T24" s="39">
        <f t="shared" si="1"/>
        <v>-7.3095681455824915E-2</v>
      </c>
      <c r="U24" s="39">
        <f t="shared" si="1"/>
        <v>-8.0136199905929129E-3</v>
      </c>
      <c r="V24" s="39">
        <f t="shared" si="1"/>
        <v>1.3115706124172496E-2</v>
      </c>
      <c r="W24" s="39">
        <f t="shared" si="1"/>
        <v>4.2311071074148207E-2</v>
      </c>
      <c r="X24" s="39">
        <f t="shared" si="1"/>
        <v>-0.12590130614546399</v>
      </c>
      <c r="Y24" s="39">
        <f t="shared" si="1"/>
        <v>-0.15748143416088239</v>
      </c>
      <c r="Z24" s="39">
        <f t="shared" si="1"/>
        <v>-7.4246852615418829E-2</v>
      </c>
      <c r="AA24" s="39">
        <f t="shared" si="1"/>
        <v>-0.14338356790508228</v>
      </c>
      <c r="AB24" s="39">
        <f t="shared" si="1"/>
        <v>-0.1643332026349778</v>
      </c>
      <c r="AC24" s="39">
        <f t="shared" si="1"/>
        <v>-0.14782552216774483</v>
      </c>
      <c r="AD24" s="39">
        <f t="shared" si="1"/>
        <v>-0.21434320531450946</v>
      </c>
      <c r="AE24" s="39">
        <f t="shared" si="1"/>
        <v>-0.22095991542272322</v>
      </c>
      <c r="AF24" s="39">
        <f t="shared" si="1"/>
        <v>-0.15301680154611544</v>
      </c>
      <c r="AG24" s="39">
        <f t="shared" si="1"/>
        <v>-8.1325804535866034E-2</v>
      </c>
      <c r="AH24" s="39">
        <f t="shared" si="1"/>
        <v>-0.11172217154543057</v>
      </c>
      <c r="AI24" s="39">
        <f t="shared" si="1"/>
        <v>-9.8266718802823602E-2</v>
      </c>
      <c r="AJ24" s="38">
        <f t="shared" si="1"/>
        <v>-0.17260556693649312</v>
      </c>
    </row>
    <row r="25" spans="2:36" ht="22.05" customHeigh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1.05" hidden="1"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1.05" hidden="1" customHeight="1">
      <c r="J27" s="206" t="s">
        <v>91</v>
      </c>
      <c r="K27" s="207"/>
      <c r="L27" s="158">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52">
        <v>0.15979569178065556</v>
      </c>
    </row>
    <row r="28" spans="2:36" ht="30" hidden="1"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0.38842044041457058</v>
      </c>
      <c r="AF28" s="147">
        <v>0.46797880909447076</v>
      </c>
      <c r="AG28" s="147">
        <v>0.43129381818358792</v>
      </c>
      <c r="AH28" s="147">
        <v>0.46996211042729796</v>
      </c>
      <c r="AI28" s="147">
        <v>0.44902672224777396</v>
      </c>
      <c r="AJ28" s="152">
        <v>0.36564289381915693</v>
      </c>
    </row>
    <row r="29" spans="2:36" ht="1.05" hidden="1"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52">
        <v>0.24249812060483178</v>
      </c>
    </row>
    <row r="30" spans="2:36" ht="1.05" hidden="1"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1.05" hidden="1"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0.20531230398190772</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8" spans="10:36" ht="35.25" hidden="1" thickBot="1">
      <c r="J68" s="214" t="s">
        <v>131</v>
      </c>
      <c r="K68" s="21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hidden="1">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hidden="1">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hidden="1">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7.25" hidden="1"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7.25" hidden="1"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J24:K24"/>
    <mergeCell ref="F1:H1"/>
    <mergeCell ref="B2:D3"/>
    <mergeCell ref="J2:K2"/>
    <mergeCell ref="J11:K11"/>
    <mergeCell ref="J15:K15"/>
    <mergeCell ref="J73:K73"/>
    <mergeCell ref="J26:K26"/>
    <mergeCell ref="J27:K27"/>
    <mergeCell ref="J28:K28"/>
    <mergeCell ref="J29:K29"/>
    <mergeCell ref="J30:K30"/>
    <mergeCell ref="J31:K31"/>
    <mergeCell ref="J68:K68"/>
    <mergeCell ref="J69:K69"/>
    <mergeCell ref="J70:K70"/>
    <mergeCell ref="J71:K71"/>
    <mergeCell ref="J72:K72"/>
  </mergeCells>
  <phoneticPr fontId="13" type="noConversion"/>
  <conditionalFormatting sqref="C16:G23">
    <cfRule type="cellIs" dxfId="145" priority="6" operator="between">
      <formula>7</formula>
      <formula>8</formula>
    </cfRule>
    <cfRule type="cellIs" dxfId="144" priority="7" operator="between">
      <formula>1</formula>
      <formula>2</formula>
    </cfRule>
  </conditionalFormatting>
  <conditionalFormatting sqref="F3">
    <cfRule type="cellIs" dxfId="143" priority="2" operator="equal">
      <formula>"GOOD"</formula>
    </cfRule>
    <cfRule type="cellIs" dxfId="142" priority="4" operator="equal">
      <formula>"GOOD"</formula>
    </cfRule>
    <cfRule type="top10" dxfId="141" priority="5" percent="1" rank="10"/>
  </conditionalFormatting>
  <conditionalFormatting sqref="G3">
    <cfRule type="cellIs" dxfId="140" priority="1" operator="equal">
      <formula>"BAD"</formula>
    </cfRule>
    <cfRule type="cellIs" dxfId="139" priority="3" operator="equal">
      <formula>"BAD"</formula>
    </cfRule>
  </conditionalFormatting>
  <pageMargins left="0.7" right="0.7" top="0.75" bottom="0.75" header="0.3" footer="0.3"/>
  <pageSetup paperSize="9" orientation="portrait" horizontalDpi="360" verticalDpi="36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5C90C-7396-7D49-B973-2FD39E5ABE7C}">
  <dimension ref="B1:AJ73"/>
  <sheetViews>
    <sheetView topLeftCell="J54" zoomScale="55" zoomScaleNormal="55" workbookViewId="0">
      <selection activeCell="G33" sqref="G32:G3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18"/>
      <c r="G1" s="219"/>
      <c r="H1" s="219"/>
    </row>
    <row r="2" spans="2:36" ht="24" customHeight="1" thickBot="1">
      <c r="B2" s="240" t="s">
        <v>107</v>
      </c>
      <c r="C2" s="241"/>
      <c r="D2" s="242"/>
      <c r="J2" s="226" t="s">
        <v>60</v>
      </c>
      <c r="K2" s="227"/>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43"/>
      <c r="C3" s="244"/>
      <c r="D3" s="245"/>
      <c r="F3" s="188" t="s">
        <v>130</v>
      </c>
      <c r="G3" s="189" t="s">
        <v>129</v>
      </c>
      <c r="J3" s="48" t="s">
        <v>81</v>
      </c>
      <c r="K3" s="190" t="s">
        <v>98</v>
      </c>
      <c r="L3" s="42">
        <v>0</v>
      </c>
      <c r="M3" s="147">
        <v>-6.3548102383053862E-2</v>
      </c>
      <c r="N3" s="147">
        <v>-5.1191526919682206E-2</v>
      </c>
      <c r="O3" s="147">
        <v>-0.17299205648720217</v>
      </c>
      <c r="P3" s="147">
        <v>0.27802294792586069</v>
      </c>
      <c r="Q3" s="147">
        <v>0.13857016769638153</v>
      </c>
      <c r="R3" s="147">
        <v>-0.14386584289496906</v>
      </c>
      <c r="S3" s="147">
        <v>0.15710503089143879</v>
      </c>
      <c r="T3" s="147">
        <v>0.15092674315975296</v>
      </c>
      <c r="U3" s="147">
        <v>-9.3556928508384707E-2</v>
      </c>
      <c r="V3" s="147">
        <v>0.1103265666372466</v>
      </c>
      <c r="W3" s="147">
        <v>3.7952338923213036E-2</v>
      </c>
      <c r="X3" s="147">
        <v>-0.13150926743159719</v>
      </c>
      <c r="Y3" s="147">
        <v>-0.1624007060900261</v>
      </c>
      <c r="Z3" s="147">
        <v>-0.27360988526037033</v>
      </c>
      <c r="AA3" s="147">
        <v>-0.14651368049426261</v>
      </c>
      <c r="AB3" s="147">
        <v>-0.17917034421888745</v>
      </c>
      <c r="AC3" s="147">
        <v>-0.44571932921447455</v>
      </c>
      <c r="AD3" s="147">
        <v>-0.57281553398058227</v>
      </c>
      <c r="AE3" s="147">
        <v>-0.70079435127978806</v>
      </c>
      <c r="AF3" s="147">
        <v>-0.6548984995586935</v>
      </c>
      <c r="AG3" s="147">
        <v>-0.51809355692850811</v>
      </c>
      <c r="AH3" s="147">
        <v>-0.57016769638128828</v>
      </c>
      <c r="AI3" s="147">
        <v>-0.38746690203000833</v>
      </c>
      <c r="AJ3" s="152">
        <v>-0.28420123565754574</v>
      </c>
    </row>
    <row r="4" spans="2:36" ht="24" customHeight="1" thickBot="1">
      <c r="J4" s="43" t="s">
        <v>81</v>
      </c>
      <c r="K4" s="191" t="s">
        <v>97</v>
      </c>
      <c r="L4" s="45">
        <v>0</v>
      </c>
      <c r="M4" s="147">
        <v>-0.33043478260869563</v>
      </c>
      <c r="N4" s="147">
        <v>-0.28160535117056851</v>
      </c>
      <c r="O4" s="147">
        <v>-0.44013377926421404</v>
      </c>
      <c r="P4" s="147">
        <v>-0.43678929765886287</v>
      </c>
      <c r="Q4" s="147">
        <v>-0.47892976588628766</v>
      </c>
      <c r="R4" s="147">
        <v>-0.5565217391304349</v>
      </c>
      <c r="S4" s="147">
        <v>-0.46220735785953193</v>
      </c>
      <c r="T4" s="147">
        <v>-0.46755852842809376</v>
      </c>
      <c r="U4" s="147">
        <v>-0.56655518394648841</v>
      </c>
      <c r="V4" s="147">
        <v>-0.46488294314381284</v>
      </c>
      <c r="W4" s="147">
        <v>-0.44481605351170572</v>
      </c>
      <c r="X4" s="147">
        <v>-0.5130434782608696</v>
      </c>
      <c r="Y4" s="147">
        <v>-0.52240802675585285</v>
      </c>
      <c r="Z4" s="147">
        <v>-0.54314381270903012</v>
      </c>
      <c r="AA4" s="147">
        <v>-0.40735785953177261</v>
      </c>
      <c r="AB4" s="147">
        <v>-0.48026755852842806</v>
      </c>
      <c r="AC4" s="147">
        <v>-0.6040133779264214</v>
      </c>
      <c r="AD4" s="147">
        <v>-0.69230769230769229</v>
      </c>
      <c r="AE4" s="147">
        <v>-0.74849498327759201</v>
      </c>
      <c r="AF4" s="147">
        <v>-0.70434782608695645</v>
      </c>
      <c r="AG4" s="147">
        <v>-0.62876254180602009</v>
      </c>
      <c r="AH4" s="147">
        <v>-0.64481605351170568</v>
      </c>
      <c r="AI4" s="147">
        <v>-0.56655518394648818</v>
      </c>
      <c r="AJ4" s="152">
        <v>-0.50367892976588624</v>
      </c>
    </row>
    <row r="5" spans="2:36" ht="24" customHeight="1">
      <c r="B5" s="51"/>
      <c r="C5" s="50">
        <v>2021</v>
      </c>
      <c r="D5" s="50">
        <v>2022</v>
      </c>
      <c r="E5" s="50">
        <v>2023</v>
      </c>
      <c r="F5" s="50">
        <v>2024</v>
      </c>
      <c r="G5" s="49">
        <v>2025</v>
      </c>
      <c r="J5" s="44" t="s">
        <v>82</v>
      </c>
      <c r="K5" s="192" t="s">
        <v>98</v>
      </c>
      <c r="L5" s="46">
        <v>0</v>
      </c>
      <c r="M5" s="147">
        <v>-3.5569105691056868E-2</v>
      </c>
      <c r="N5" s="147">
        <v>-0.16361788617886164</v>
      </c>
      <c r="O5" s="147">
        <v>-1.7276422764227584E-2</v>
      </c>
      <c r="P5" s="147">
        <v>-5.4878048780487743E-2</v>
      </c>
      <c r="Q5" s="147">
        <v>-0.36178861788617878</v>
      </c>
      <c r="R5" s="147">
        <v>-0.50813008130081294</v>
      </c>
      <c r="S5" s="147">
        <v>-0.65548780487804881</v>
      </c>
      <c r="T5" s="147">
        <v>-0.60264227642276413</v>
      </c>
      <c r="U5" s="147">
        <v>-0.44512195121951215</v>
      </c>
      <c r="V5" s="147">
        <v>-0.50508130081300806</v>
      </c>
      <c r="W5" s="147">
        <v>-0.2947154471544714</v>
      </c>
      <c r="X5" s="147">
        <v>-0.17581300813008116</v>
      </c>
      <c r="Y5" s="147">
        <v>-0.38617886178861771</v>
      </c>
      <c r="Z5" s="147">
        <v>-0.44410569105691045</v>
      </c>
      <c r="AA5" s="147">
        <v>-0.4989837398373983</v>
      </c>
      <c r="AB5" s="147">
        <v>-0.59949186991869907</v>
      </c>
      <c r="AC5" s="147">
        <v>-0.63109756097560976</v>
      </c>
      <c r="AD5" s="147">
        <v>-0.45630081300813008</v>
      </c>
      <c r="AE5" s="147">
        <v>-0.38211382113821135</v>
      </c>
      <c r="AF5" s="147">
        <v>-0.40752032520325199</v>
      </c>
      <c r="AG5" s="147">
        <v>-0.27743902439024382</v>
      </c>
      <c r="AH5" s="147">
        <v>-0.14329268292682917</v>
      </c>
      <c r="AI5" s="147">
        <v>-0.26829268292682917</v>
      </c>
      <c r="AJ5" s="152">
        <v>-0.55894308943089421</v>
      </c>
    </row>
    <row r="6" spans="2:36" ht="24" customHeight="1">
      <c r="B6" s="47" t="s">
        <v>69</v>
      </c>
      <c r="C6" s="138">
        <v>37.506819826414386</v>
      </c>
      <c r="D6" s="139">
        <v>29.274033094881226</v>
      </c>
      <c r="E6" s="139">
        <v>31.558676359201648</v>
      </c>
      <c r="F6" s="139">
        <v>31.393172742298496</v>
      </c>
      <c r="G6" s="140">
        <v>32.271727659960163</v>
      </c>
      <c r="H6" s="1"/>
      <c r="J6" s="43" t="s">
        <v>82</v>
      </c>
      <c r="K6" s="191" t="s">
        <v>97</v>
      </c>
      <c r="L6" s="45">
        <v>0</v>
      </c>
      <c r="M6" s="147">
        <v>-1.9230769230769273E-2</v>
      </c>
      <c r="N6" s="147">
        <v>-6.1813186813186816E-2</v>
      </c>
      <c r="O6" s="147">
        <v>0.21703296703296693</v>
      </c>
      <c r="P6" s="147">
        <v>6.7307692307692291E-2</v>
      </c>
      <c r="Q6" s="147">
        <v>-0.1868131868131867</v>
      </c>
      <c r="R6" s="147">
        <v>-0.36813186813186805</v>
      </c>
      <c r="S6" s="147">
        <v>-0.48351648351648346</v>
      </c>
      <c r="T6" s="147">
        <v>-0.39285714285714279</v>
      </c>
      <c r="U6" s="147">
        <v>-0.23763736263736257</v>
      </c>
      <c r="V6" s="147">
        <v>-0.27060439560439553</v>
      </c>
      <c r="W6" s="147">
        <v>-0.10989010989010972</v>
      </c>
      <c r="X6" s="147">
        <v>1.9230769230769384E-2</v>
      </c>
      <c r="Y6" s="147">
        <v>-0.21978021978021967</v>
      </c>
      <c r="Z6" s="147">
        <v>-0.23214285714285698</v>
      </c>
      <c r="AA6" s="147">
        <v>-0.16346153846153832</v>
      </c>
      <c r="AB6" s="147">
        <v>-0.11950549450549419</v>
      </c>
      <c r="AC6" s="147">
        <v>-0.30219780219780201</v>
      </c>
      <c r="AD6" s="147">
        <v>-9.8901098901098661E-2</v>
      </c>
      <c r="AE6" s="147">
        <v>-0.21703296703296671</v>
      </c>
      <c r="AF6" s="147">
        <v>-0.17994505494505464</v>
      </c>
      <c r="AG6" s="147">
        <v>7.9670329670330275E-2</v>
      </c>
      <c r="AH6" s="147">
        <v>-9.6153846153845701E-2</v>
      </c>
      <c r="AI6" s="147">
        <v>-0.10439560439560402</v>
      </c>
      <c r="AJ6" s="152">
        <v>-0.3379120879120876</v>
      </c>
    </row>
    <row r="7" spans="2:36" ht="24" customHeight="1">
      <c r="B7" s="47" t="s">
        <v>70</v>
      </c>
      <c r="C7" s="141">
        <v>41.080781474043754</v>
      </c>
      <c r="D7" s="142">
        <v>28.992769488465751</v>
      </c>
      <c r="E7" s="142">
        <v>26.613799754809303</v>
      </c>
      <c r="F7" s="142">
        <v>27.286949260295266</v>
      </c>
      <c r="G7" s="143">
        <v>27.449320591445819</v>
      </c>
      <c r="H7" s="1"/>
      <c r="J7" s="44" t="s">
        <v>83</v>
      </c>
      <c r="K7" s="192" t="s">
        <v>98</v>
      </c>
      <c r="L7" s="46">
        <v>0</v>
      </c>
      <c r="M7" s="147">
        <v>-0.25524044389642409</v>
      </c>
      <c r="N7" s="147">
        <v>-0.32552404438964244</v>
      </c>
      <c r="O7" s="147">
        <v>-0.39210850801479658</v>
      </c>
      <c r="P7" s="147">
        <v>-0.51405672009864367</v>
      </c>
      <c r="Q7" s="147">
        <v>-0.55240443896424174</v>
      </c>
      <c r="R7" s="147">
        <v>-0.34032059186189889</v>
      </c>
      <c r="S7" s="147">
        <v>-0.25030826140567197</v>
      </c>
      <c r="T7" s="147">
        <v>-0.28113440197287287</v>
      </c>
      <c r="U7" s="147">
        <v>-0.12330456226880371</v>
      </c>
      <c r="V7" s="147">
        <v>3.9457459926017568E-2</v>
      </c>
      <c r="W7" s="147">
        <v>-0.11220715166461126</v>
      </c>
      <c r="X7" s="147">
        <v>-0.46485819975339071</v>
      </c>
      <c r="Y7" s="147">
        <v>-0.6325524044389641</v>
      </c>
      <c r="Z7" s="147">
        <v>-0.50431565967940795</v>
      </c>
      <c r="AA7" s="147">
        <v>-0.55610357583230563</v>
      </c>
      <c r="AB7" s="147">
        <v>-0.45992601726263849</v>
      </c>
      <c r="AC7" s="147">
        <v>-0.39580764488286035</v>
      </c>
      <c r="AD7" s="147">
        <v>-0.45561035758323032</v>
      </c>
      <c r="AE7" s="147">
        <v>-0.52404438964241651</v>
      </c>
      <c r="AF7" s="147">
        <v>-0.43773119605425381</v>
      </c>
      <c r="AG7" s="147">
        <v>-0.41923551171393314</v>
      </c>
      <c r="AH7" s="147">
        <v>-0.42786683107274948</v>
      </c>
      <c r="AI7" s="147">
        <v>-0.45252774352651015</v>
      </c>
      <c r="AJ7" s="152">
        <v>-0.56473489519112186</v>
      </c>
    </row>
    <row r="8" spans="2:36" ht="24" customHeight="1">
      <c r="B8" s="47" t="s">
        <v>71</v>
      </c>
      <c r="C8" s="141">
        <v>10.85024929648443</v>
      </c>
      <c r="D8" s="142">
        <v>12.229512164971183</v>
      </c>
      <c r="E8" s="142">
        <v>16.1137017122971</v>
      </c>
      <c r="F8" s="142">
        <v>15.78276577814124</v>
      </c>
      <c r="G8" s="143">
        <v>15.706483274136431</v>
      </c>
      <c r="J8" s="43" t="s">
        <v>83</v>
      </c>
      <c r="K8" s="191" t="s">
        <v>101</v>
      </c>
      <c r="L8" s="45">
        <v>0</v>
      </c>
      <c r="M8" s="147">
        <v>-0.27462044874378611</v>
      </c>
      <c r="N8" s="147">
        <v>-0.29275829638586592</v>
      </c>
      <c r="O8" s="147">
        <v>-0.32513771328765295</v>
      </c>
      <c r="P8" s="147">
        <v>-0.24667472793228551</v>
      </c>
      <c r="Q8" s="147">
        <v>-0.43463657127502364</v>
      </c>
      <c r="R8" s="147">
        <v>-0.26024452505710072</v>
      </c>
      <c r="S8" s="147">
        <v>-0.12656187021362364</v>
      </c>
      <c r="T8" s="147">
        <v>9.9556630390971179E-2</v>
      </c>
      <c r="U8" s="147">
        <v>0.2645438667204083</v>
      </c>
      <c r="V8" s="147">
        <v>0.37619239553943284</v>
      </c>
      <c r="W8" s="147">
        <v>-1.2494961708988561E-2</v>
      </c>
      <c r="X8" s="147">
        <v>-0.30605938465672455</v>
      </c>
      <c r="Y8" s="147">
        <v>-0.36947467419051472</v>
      </c>
      <c r="Z8" s="147">
        <v>-0.25325809485422557</v>
      </c>
      <c r="AA8" s="147">
        <v>-0.26172242375386279</v>
      </c>
      <c r="AB8" s="147">
        <v>-0.30619373908370295</v>
      </c>
      <c r="AC8" s="147">
        <v>-0.15813516055354049</v>
      </c>
      <c r="AD8" s="147">
        <v>-0.18352814725245215</v>
      </c>
      <c r="AE8" s="147">
        <v>-0.16458417304850226</v>
      </c>
      <c r="AF8" s="147">
        <v>2.1093645035603403E-2</v>
      </c>
      <c r="AG8" s="147">
        <v>0.14564019884455148</v>
      </c>
      <c r="AH8" s="147">
        <v>0.19078328630928332</v>
      </c>
      <c r="AI8" s="147">
        <v>0.37243047158403808</v>
      </c>
      <c r="AJ8" s="152">
        <v>8.8808276232701377E-2</v>
      </c>
    </row>
    <row r="9" spans="2:36" ht="24" customHeight="1">
      <c r="B9" s="47" t="s">
        <v>72</v>
      </c>
      <c r="C9" s="141">
        <v>33.740577755945061</v>
      </c>
      <c r="D9" s="142">
        <v>18.623774138975097</v>
      </c>
      <c r="E9" s="142">
        <v>18.624916873512266</v>
      </c>
      <c r="F9" s="142">
        <v>16.505589718062492</v>
      </c>
      <c r="G9" s="143">
        <v>15.335963432010391</v>
      </c>
      <c r="J9" s="44" t="s">
        <v>84</v>
      </c>
      <c r="K9" s="190" t="s">
        <v>101</v>
      </c>
      <c r="L9" s="42">
        <v>0</v>
      </c>
      <c r="M9" s="147">
        <v>-9.1384317521781222E-2</v>
      </c>
      <c r="N9" s="147">
        <v>7.6089060987415413E-2</v>
      </c>
      <c r="O9" s="147">
        <v>6.3891577928364196E-2</v>
      </c>
      <c r="P9" s="147">
        <v>-1.9361084220703706E-4</v>
      </c>
      <c r="Q9" s="147">
        <v>0.21316553727008714</v>
      </c>
      <c r="R9" s="147">
        <v>0.17657308809293326</v>
      </c>
      <c r="S9" s="147">
        <v>0.20387221684414314</v>
      </c>
      <c r="T9" s="147">
        <v>0.4714424007744431</v>
      </c>
      <c r="U9" s="147">
        <v>0.65091965150048381</v>
      </c>
      <c r="V9" s="147">
        <v>0.71597289448209067</v>
      </c>
      <c r="W9" s="147">
        <v>0.97773475314617597</v>
      </c>
      <c r="X9" s="147">
        <v>0.56902226524685373</v>
      </c>
      <c r="Y9" s="147">
        <v>0.46447241045498533</v>
      </c>
      <c r="Z9" s="147">
        <v>0.77366892545982546</v>
      </c>
      <c r="AJ9" s="41"/>
    </row>
    <row r="10" spans="2:36" ht="24" customHeight="1" thickBot="1">
      <c r="B10" s="63" t="s">
        <v>75</v>
      </c>
      <c r="C10" s="141">
        <v>13.546283802876648</v>
      </c>
      <c r="D10" s="142">
        <v>13.549522675153138</v>
      </c>
      <c r="E10" s="142">
        <v>16.027752181697224</v>
      </c>
      <c r="F10" s="142">
        <v>18.343804423603025</v>
      </c>
      <c r="G10" s="143">
        <v>20.712464539675192</v>
      </c>
      <c r="J10" s="43" t="s">
        <v>84</v>
      </c>
      <c r="K10" s="190" t="s">
        <v>98</v>
      </c>
      <c r="L10" s="42">
        <v>0</v>
      </c>
      <c r="M10" s="147">
        <v>-0.31336405529953915</v>
      </c>
      <c r="N10" s="147">
        <v>-7.373271889400923E-2</v>
      </c>
      <c r="O10" s="147">
        <v>-0.17050691244239624</v>
      </c>
      <c r="P10" s="147">
        <v>9.2165898617511122E-3</v>
      </c>
      <c r="Q10" s="147">
        <v>0.12903225806451624</v>
      </c>
      <c r="R10" s="147">
        <v>1.7281105990783363E-2</v>
      </c>
      <c r="S10" s="147">
        <v>-0.1105990783410139</v>
      </c>
      <c r="T10" s="147">
        <v>5.0691244239631228E-2</v>
      </c>
      <c r="U10" s="147">
        <v>8.5253456221198176E-2</v>
      </c>
      <c r="V10" s="147">
        <v>6.9124423963133452E-2</v>
      </c>
      <c r="W10" s="147">
        <v>2.3041474654377891E-2</v>
      </c>
      <c r="X10" s="147">
        <v>-0.18663594470046097</v>
      </c>
      <c r="Y10" s="147">
        <v>-0.16359447004608307</v>
      </c>
      <c r="Z10" s="147">
        <v>0.39400921658986165</v>
      </c>
      <c r="AA10" s="153"/>
      <c r="AB10" s="153"/>
      <c r="AC10" s="153"/>
      <c r="AD10" s="153"/>
      <c r="AE10" s="153"/>
      <c r="AF10" s="153"/>
      <c r="AG10" s="153"/>
      <c r="AH10" s="153"/>
      <c r="AI10" s="153"/>
      <c r="AJ10" s="154"/>
    </row>
    <row r="11" spans="2:36" ht="24" customHeight="1" thickBot="1">
      <c r="B11" s="47" t="s">
        <v>76</v>
      </c>
      <c r="C11" s="141">
        <v>34.273275457578727</v>
      </c>
      <c r="D11" s="142">
        <v>19.094075749363732</v>
      </c>
      <c r="E11" s="142">
        <v>15.887623636590035</v>
      </c>
      <c r="F11" s="142">
        <v>19.783116711389049</v>
      </c>
      <c r="G11" s="143">
        <v>19.657814466767871</v>
      </c>
      <c r="J11" s="216" t="s">
        <v>58</v>
      </c>
      <c r="K11" s="217"/>
      <c r="L11" s="40">
        <v>0</v>
      </c>
      <c r="M11" s="39">
        <f t="shared" ref="M11:AJ11" si="0">AVERAGE(M3:M10)</f>
        <v>-0.17292400317188827</v>
      </c>
      <c r="N11" s="39">
        <f t="shared" si="0"/>
        <v>-0.14676924372055017</v>
      </c>
      <c r="O11" s="39">
        <f t="shared" si="0"/>
        <v>-0.15465385591239483</v>
      </c>
      <c r="P11" s="39">
        <f t="shared" si="0"/>
        <v>-0.11225564690214784</v>
      </c>
      <c r="Q11" s="39">
        <f t="shared" si="0"/>
        <v>-0.19172557722424169</v>
      </c>
      <c r="R11" s="39">
        <f t="shared" si="0"/>
        <v>-0.24792005678667095</v>
      </c>
      <c r="S11" s="39">
        <f t="shared" si="0"/>
        <v>-0.21596295105984897</v>
      </c>
      <c r="T11" s="39">
        <f t="shared" si="0"/>
        <v>-0.12144691638950939</v>
      </c>
      <c r="U11" s="39">
        <f t="shared" si="0"/>
        <v>-5.8182376767307642E-2</v>
      </c>
      <c r="V11" s="39">
        <f t="shared" si="0"/>
        <v>8.8131376233380743E-3</v>
      </c>
      <c r="W11" s="39">
        <f t="shared" si="0"/>
        <v>8.0756053492350294E-3</v>
      </c>
      <c r="X11" s="39">
        <f t="shared" si="0"/>
        <v>-0.14870828105693762</v>
      </c>
      <c r="Y11" s="39">
        <f t="shared" si="0"/>
        <v>-0.24898961907941164</v>
      </c>
      <c r="Z11" s="39">
        <f t="shared" si="0"/>
        <v>-0.1353622323316393</v>
      </c>
      <c r="AA11" s="39">
        <f t="shared" si="0"/>
        <v>-0.33902380298519003</v>
      </c>
      <c r="AB11" s="39">
        <f t="shared" si="0"/>
        <v>-0.357425837252975</v>
      </c>
      <c r="AC11" s="39">
        <f t="shared" si="0"/>
        <v>-0.42282847929178474</v>
      </c>
      <c r="AD11" s="39">
        <f t="shared" si="0"/>
        <v>-0.40991060717219757</v>
      </c>
      <c r="AE11" s="39">
        <f t="shared" si="0"/>
        <v>-0.4561774475699128</v>
      </c>
      <c r="AF11" s="39">
        <f t="shared" si="0"/>
        <v>-0.3938915428021012</v>
      </c>
      <c r="AG11" s="39">
        <f t="shared" si="0"/>
        <v>-0.26970335105397053</v>
      </c>
      <c r="AH11" s="39">
        <f t="shared" si="0"/>
        <v>-0.28191897062285587</v>
      </c>
      <c r="AI11" s="39">
        <f t="shared" si="0"/>
        <v>-0.23446794087356695</v>
      </c>
      <c r="AJ11" s="38">
        <f t="shared" si="0"/>
        <v>-0.36011032695413903</v>
      </c>
    </row>
    <row r="12" spans="2:36" ht="24" customHeight="1">
      <c r="B12" s="64" t="s">
        <v>74</v>
      </c>
      <c r="C12" s="141">
        <v>34.390128287467036</v>
      </c>
      <c r="D12" s="142">
        <v>23.020928275718898</v>
      </c>
      <c r="E12" s="142">
        <v>22.409857304234002</v>
      </c>
      <c r="F12" s="142">
        <v>23.951946576627037</v>
      </c>
      <c r="G12" s="143">
        <v>24.62579678519144</v>
      </c>
    </row>
    <row r="13" spans="2:36" ht="24" customHeight="1" thickBot="1">
      <c r="B13" s="65" t="s">
        <v>73</v>
      </c>
      <c r="C13" s="144">
        <v>35.116898968062479</v>
      </c>
      <c r="D13" s="145">
        <v>29.942016299806284</v>
      </c>
      <c r="E13" s="145">
        <v>29.338664823521015</v>
      </c>
      <c r="F13" s="145">
        <v>27.804131471262998</v>
      </c>
      <c r="G13" s="146">
        <v>27.101005124367582</v>
      </c>
    </row>
    <row r="14" spans="2:36" ht="24" customHeight="1" thickBot="1"/>
    <row r="15" spans="2:36" ht="24" customHeight="1" thickBot="1">
      <c r="B15" s="51"/>
      <c r="C15" s="50">
        <v>2021</v>
      </c>
      <c r="D15" s="50">
        <v>2022</v>
      </c>
      <c r="E15" s="50">
        <v>2023</v>
      </c>
      <c r="F15" s="50">
        <v>2024</v>
      </c>
      <c r="G15" s="49">
        <v>2025</v>
      </c>
      <c r="J15" s="228" t="s">
        <v>59</v>
      </c>
      <c r="K15" s="229"/>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7</v>
      </c>
      <c r="D16" s="84">
        <v>7</v>
      </c>
      <c r="E16" s="84">
        <v>8</v>
      </c>
      <c r="F16" s="84">
        <v>8</v>
      </c>
      <c r="G16" s="85">
        <v>8</v>
      </c>
      <c r="J16" s="48" t="s">
        <v>81</v>
      </c>
      <c r="K16" s="197" t="s">
        <v>104</v>
      </c>
      <c r="L16" s="42">
        <v>0</v>
      </c>
      <c r="M16" s="147">
        <v>2.8493150684931523E-2</v>
      </c>
      <c r="N16" s="147">
        <v>-2.082191780821907E-2</v>
      </c>
      <c r="O16" s="147">
        <v>-0.30520547945205467</v>
      </c>
      <c r="P16" s="147">
        <v>-0.24876712328767103</v>
      </c>
      <c r="Q16" s="147">
        <v>-0.28821917808219166</v>
      </c>
      <c r="R16" s="147">
        <v>-0.34027397260273973</v>
      </c>
      <c r="S16" s="147">
        <v>-0.22301369863013698</v>
      </c>
      <c r="T16" s="147">
        <v>-0.20931506849315062</v>
      </c>
      <c r="U16" s="147">
        <v>-0.30301369863013694</v>
      </c>
      <c r="V16" s="147">
        <v>-0.11561643835616431</v>
      </c>
      <c r="W16" s="147">
        <v>-0.12438356164383557</v>
      </c>
      <c r="X16" s="147">
        <v>-0.19178082191780821</v>
      </c>
      <c r="Y16" s="147">
        <v>-0.25260273972602731</v>
      </c>
      <c r="Z16" s="147">
        <v>-0.19013698630136988</v>
      </c>
      <c r="AA16" s="147">
        <v>-1.69863013698629E-2</v>
      </c>
      <c r="AB16" s="147">
        <v>-8.2191780821917693E-2</v>
      </c>
      <c r="AC16" s="147">
        <v>-0.19287671232876702</v>
      </c>
      <c r="AD16" s="147">
        <v>-0.29808219178082185</v>
      </c>
      <c r="AE16" s="147">
        <v>-0.38904109589041092</v>
      </c>
      <c r="AF16" s="147">
        <v>-0.31890410958904114</v>
      </c>
      <c r="AG16" s="147">
        <v>-0.24712328767123293</v>
      </c>
      <c r="AH16" s="147">
        <v>-0.22027397260273973</v>
      </c>
      <c r="AI16" s="147">
        <v>-0.14082191780821918</v>
      </c>
      <c r="AJ16" s="152">
        <v>-0.15890410958904111</v>
      </c>
    </row>
    <row r="17" spans="2:36" ht="24" customHeight="1">
      <c r="B17" s="47" t="s">
        <v>70</v>
      </c>
      <c r="C17" s="84">
        <v>8</v>
      </c>
      <c r="D17" s="84">
        <v>6</v>
      </c>
      <c r="E17" s="84">
        <v>6</v>
      </c>
      <c r="F17" s="84">
        <v>6</v>
      </c>
      <c r="G17" s="85">
        <v>7</v>
      </c>
      <c r="J17" s="43" t="s">
        <v>81</v>
      </c>
      <c r="K17" s="198" t="s">
        <v>99</v>
      </c>
      <c r="L17" s="45">
        <v>0</v>
      </c>
      <c r="M17" s="147">
        <v>2.0032995522036412E-2</v>
      </c>
      <c r="N17" s="147">
        <v>1.1784115012962726E-3</v>
      </c>
      <c r="O17" s="147">
        <v>-0.21140702333254768</v>
      </c>
      <c r="P17" s="147">
        <v>-0.16780579778458626</v>
      </c>
      <c r="Q17" s="147">
        <v>-0.19868017911854818</v>
      </c>
      <c r="R17" s="147">
        <v>-0.32665566815932123</v>
      </c>
      <c r="S17" s="147">
        <v>-0.20645769502710343</v>
      </c>
      <c r="T17" s="147">
        <v>-0.12868253594155077</v>
      </c>
      <c r="U17" s="147">
        <v>-0.2649069054913975</v>
      </c>
      <c r="V17" s="147">
        <v>-0.21894885694084365</v>
      </c>
      <c r="W17" s="147">
        <v>-0.26302144708932351</v>
      </c>
      <c r="X17" s="147">
        <v>-0.2858826302144708</v>
      </c>
      <c r="Y17" s="147">
        <v>-0.33160499646476538</v>
      </c>
      <c r="Z17" s="147">
        <v>-0.34103228847513534</v>
      </c>
      <c r="AA17" s="147">
        <v>-0.20103700212114051</v>
      </c>
      <c r="AB17" s="147">
        <v>-0.24228140466650938</v>
      </c>
      <c r="AC17" s="147">
        <v>-0.29908083902898874</v>
      </c>
      <c r="AD17" s="147">
        <v>-0.39948149893942952</v>
      </c>
      <c r="AE17" s="147">
        <v>-0.50412444025453684</v>
      </c>
      <c r="AF17" s="147">
        <v>-0.4296488333726135</v>
      </c>
      <c r="AG17" s="147">
        <v>-0.35564459109120872</v>
      </c>
      <c r="AH17" s="147">
        <v>-0.32901249116191345</v>
      </c>
      <c r="AI17" s="147">
        <v>-0.23073297195380593</v>
      </c>
      <c r="AJ17" s="152">
        <v>-0.34480320527928321</v>
      </c>
    </row>
    <row r="18" spans="2:36" ht="24" customHeight="1">
      <c r="B18" s="47" t="s">
        <v>71</v>
      </c>
      <c r="C18" s="86">
        <v>1</v>
      </c>
      <c r="D18" s="86">
        <v>1</v>
      </c>
      <c r="E18" s="86">
        <v>3</v>
      </c>
      <c r="F18" s="86">
        <v>1</v>
      </c>
      <c r="G18" s="87">
        <v>2</v>
      </c>
      <c r="J18" s="44" t="s">
        <v>82</v>
      </c>
      <c r="K18" s="199" t="s">
        <v>104</v>
      </c>
      <c r="L18" s="46">
        <v>0</v>
      </c>
      <c r="M18" s="147">
        <v>-7.5254237288135517E-2</v>
      </c>
      <c r="N18" s="147">
        <v>2.0338983050847137E-3</v>
      </c>
      <c r="O18" s="147">
        <v>0.21627118644067811</v>
      </c>
      <c r="P18" s="147">
        <v>0.13559322033898313</v>
      </c>
      <c r="Q18" s="147">
        <v>-1.3559322033896981E-3</v>
      </c>
      <c r="R18" s="147">
        <v>-0.13152542372881337</v>
      </c>
      <c r="S18" s="147">
        <v>-0.24406779661016931</v>
      </c>
      <c r="T18" s="147">
        <v>-0.15728813559322019</v>
      </c>
      <c r="U18" s="147">
        <v>-6.847457627118636E-2</v>
      </c>
      <c r="V18" s="147">
        <v>-3.5254237288135482E-2</v>
      </c>
      <c r="W18" s="147">
        <v>6.3050847457627235E-2</v>
      </c>
      <c r="X18" s="147">
        <v>4.067796610169494E-2</v>
      </c>
      <c r="Y18" s="147">
        <v>-8.4067796610169498E-2</v>
      </c>
      <c r="Z18" s="147">
        <v>-0.22033898305084754</v>
      </c>
      <c r="AA18" s="147">
        <v>-0.23186440677966114</v>
      </c>
      <c r="AB18" s="147">
        <v>-0.27864406779661022</v>
      </c>
      <c r="AC18" s="147">
        <v>-0.28000000000000014</v>
      </c>
      <c r="AD18" s="147">
        <v>-0.23796610169491528</v>
      </c>
      <c r="AE18" s="147">
        <v>-9.152542372881356E-2</v>
      </c>
      <c r="AF18" s="147">
        <v>-1.5593220338983027E-2</v>
      </c>
      <c r="AG18" s="147">
        <v>0.18169491525423731</v>
      </c>
      <c r="AH18" s="147">
        <v>0.14711864406779673</v>
      </c>
      <c r="AI18" s="147">
        <v>-2.7118644067796627E-2</v>
      </c>
      <c r="AJ18" s="152">
        <v>-0.28474576271186436</v>
      </c>
    </row>
    <row r="19" spans="2:36" ht="24" customHeight="1">
      <c r="B19" s="47" t="s">
        <v>72</v>
      </c>
      <c r="C19" s="86">
        <v>3</v>
      </c>
      <c r="D19" s="86">
        <v>3</v>
      </c>
      <c r="E19" s="86">
        <v>4</v>
      </c>
      <c r="F19" s="86">
        <v>2</v>
      </c>
      <c r="G19" s="87">
        <v>1</v>
      </c>
      <c r="J19" s="43" t="s">
        <v>82</v>
      </c>
      <c r="K19" s="198" t="s">
        <v>102</v>
      </c>
      <c r="L19" s="45">
        <v>0</v>
      </c>
      <c r="M19" s="147">
        <v>-1.7460787215152318E-2</v>
      </c>
      <c r="N19" s="147">
        <v>4.0248594258656345E-2</v>
      </c>
      <c r="O19" s="147">
        <v>0.36134951168984908</v>
      </c>
      <c r="P19" s="147">
        <v>0.32465226398342706</v>
      </c>
      <c r="Q19" s="147">
        <v>0.23054158034921568</v>
      </c>
      <c r="R19" s="147">
        <v>6.1852619118082375E-2</v>
      </c>
      <c r="S19" s="147">
        <v>-0.10328499556081672</v>
      </c>
      <c r="T19" s="147">
        <v>6.2740455756140845E-2</v>
      </c>
      <c r="U19" s="147">
        <v>0.15773897602841069</v>
      </c>
      <c r="V19" s="147">
        <v>0.12636874815034038</v>
      </c>
      <c r="W19" s="147">
        <v>0.21633619414027816</v>
      </c>
      <c r="X19" s="147">
        <v>0.38088191772713809</v>
      </c>
      <c r="Y19" s="147">
        <v>0.44421426457531821</v>
      </c>
      <c r="Z19" s="147">
        <v>0.47173720035513478</v>
      </c>
      <c r="AA19" s="147">
        <v>0.3711157147084938</v>
      </c>
      <c r="AB19" s="147">
        <v>0.24326723882805568</v>
      </c>
      <c r="AC19" s="147">
        <v>0.23231725362533306</v>
      </c>
      <c r="AD19" s="147">
        <v>0.47292098253921311</v>
      </c>
      <c r="AE19" s="147">
        <v>0.65936667653151848</v>
      </c>
      <c r="AF19" s="147">
        <v>0.85646641018052705</v>
      </c>
      <c r="AG19" s="147">
        <v>0.75969221663214026</v>
      </c>
      <c r="AH19" s="147">
        <v>0.95679195028114905</v>
      </c>
      <c r="AI19" s="147">
        <v>0.74874223142941765</v>
      </c>
      <c r="AJ19" s="152">
        <v>0.27138206569991175</v>
      </c>
    </row>
    <row r="20" spans="2:36" ht="24" customHeight="1">
      <c r="B20" s="63" t="s">
        <v>75</v>
      </c>
      <c r="C20" s="88">
        <v>2</v>
      </c>
      <c r="D20" s="89">
        <v>2</v>
      </c>
      <c r="E20" s="89">
        <v>2</v>
      </c>
      <c r="F20" s="89">
        <v>3</v>
      </c>
      <c r="G20" s="90">
        <v>4</v>
      </c>
      <c r="J20" s="44" t="s">
        <v>83</v>
      </c>
      <c r="K20" s="199" t="s">
        <v>102</v>
      </c>
      <c r="L20" s="46">
        <v>0</v>
      </c>
      <c r="M20" s="147">
        <v>4.5863694813544909E-2</v>
      </c>
      <c r="N20" s="147">
        <v>6.5795113587655552E-2</v>
      </c>
      <c r="O20" s="147">
        <v>-7.0724389198455473E-3</v>
      </c>
      <c r="P20" s="147">
        <v>-9.9657093870552882E-2</v>
      </c>
      <c r="Q20" s="147">
        <v>-0.10758679811401617</v>
      </c>
      <c r="R20" s="147">
        <v>6.6652378911273402E-2</v>
      </c>
      <c r="S20" s="147">
        <v>0.2016716673810548</v>
      </c>
      <c r="T20" s="147">
        <v>0.34440634376339507</v>
      </c>
      <c r="U20" s="147">
        <v>0.2743249035576516</v>
      </c>
      <c r="V20" s="147">
        <v>0.4170595799399921</v>
      </c>
      <c r="W20" s="147">
        <v>0.26639519931418842</v>
      </c>
      <c r="X20" s="147">
        <v>-7.9297042434632981E-2</v>
      </c>
      <c r="Y20" s="147">
        <v>-0.12087441063008952</v>
      </c>
      <c r="Z20" s="147">
        <v>2.1860265752250863E-2</v>
      </c>
      <c r="AA20" s="147">
        <v>4.1577368195456987E-2</v>
      </c>
      <c r="AB20" s="147">
        <v>0.12687526789541415</v>
      </c>
      <c r="AC20" s="147">
        <v>0.31290184312044644</v>
      </c>
      <c r="AD20" s="147">
        <v>0.20595799399914339</v>
      </c>
      <c r="AE20" s="147">
        <v>0.21945992284612137</v>
      </c>
      <c r="AF20" s="147">
        <v>0.36648092584655001</v>
      </c>
      <c r="AG20" s="147">
        <v>0.47942563223317691</v>
      </c>
      <c r="AH20" s="147">
        <v>0.40462923274753626</v>
      </c>
      <c r="AI20" s="147">
        <v>0.40055722246035197</v>
      </c>
      <c r="AJ20" s="152">
        <v>0.42091727389627143</v>
      </c>
    </row>
    <row r="21" spans="2:36" ht="24" customHeight="1">
      <c r="B21" s="47" t="s">
        <v>76</v>
      </c>
      <c r="C21" s="91">
        <v>4</v>
      </c>
      <c r="D21" s="91">
        <v>4</v>
      </c>
      <c r="E21" s="84">
        <v>1</v>
      </c>
      <c r="F21" s="84">
        <v>4</v>
      </c>
      <c r="G21" s="85">
        <v>3</v>
      </c>
      <c r="J21" s="43" t="s">
        <v>83</v>
      </c>
      <c r="K21" s="198" t="s">
        <v>104</v>
      </c>
      <c r="L21" s="45">
        <v>0</v>
      </c>
      <c r="M21" s="147">
        <v>-0.11986970684039089</v>
      </c>
      <c r="N21" s="147">
        <v>-0.250814332247557</v>
      </c>
      <c r="O21" s="147">
        <v>-0.26188925081433223</v>
      </c>
      <c r="P21" s="147">
        <v>-0.30684039087947879</v>
      </c>
      <c r="Q21" s="147">
        <v>-0.30814332247557008</v>
      </c>
      <c r="R21" s="147">
        <v>-0.26775244299674261</v>
      </c>
      <c r="S21" s="147">
        <v>-0.12703583061889245</v>
      </c>
      <c r="T21" s="147">
        <v>-5.4071661237784951E-2</v>
      </c>
      <c r="U21" s="147">
        <v>0.13550488599348531</v>
      </c>
      <c r="V21" s="147">
        <v>0.10228013029315974</v>
      </c>
      <c r="W21" s="147">
        <v>-6.514657980456029E-2</v>
      </c>
      <c r="X21" s="147">
        <v>-0.31270358306188917</v>
      </c>
      <c r="Y21" s="147">
        <v>-0.35179153094462545</v>
      </c>
      <c r="Z21" s="147">
        <v>-0.25667752442996739</v>
      </c>
      <c r="AA21" s="147">
        <v>-0.2690553745928338</v>
      </c>
      <c r="AB21" s="147">
        <v>-0.25146579804560265</v>
      </c>
      <c r="AC21" s="147">
        <v>-0.12899022801302951</v>
      </c>
      <c r="AD21" s="147">
        <v>-0.26775244299674283</v>
      </c>
      <c r="AE21" s="147">
        <v>-0.14462540716612382</v>
      </c>
      <c r="AF21" s="147">
        <v>-8.4690553745928376E-2</v>
      </c>
      <c r="AG21" s="147">
        <v>-1.3029315960914056E-3</v>
      </c>
      <c r="AH21" s="147">
        <v>-0.13355048859934859</v>
      </c>
      <c r="AI21" s="147">
        <v>-0.14853420195439748</v>
      </c>
      <c r="AJ21" s="152">
        <v>-0.30032573289902287</v>
      </c>
    </row>
    <row r="22" spans="2:36" ht="24" customHeight="1">
      <c r="B22" s="64" t="s">
        <v>74</v>
      </c>
      <c r="C22" s="92">
        <v>5</v>
      </c>
      <c r="D22" s="92">
        <v>5</v>
      </c>
      <c r="E22" s="92">
        <v>5</v>
      </c>
      <c r="F22" s="92">
        <v>5</v>
      </c>
      <c r="G22" s="93">
        <v>5</v>
      </c>
      <c r="J22" s="44" t="s">
        <v>84</v>
      </c>
      <c r="K22" s="197" t="s">
        <v>102</v>
      </c>
      <c r="L22" s="42">
        <v>0</v>
      </c>
      <c r="M22" s="147">
        <v>-4.5158286778398504E-2</v>
      </c>
      <c r="N22" s="147">
        <v>0.10986964618249528</v>
      </c>
      <c r="O22" s="147">
        <v>0.13128491620111715</v>
      </c>
      <c r="P22" s="147">
        <v>0.22392923649906882</v>
      </c>
      <c r="Q22" s="147">
        <v>0.42597765363128492</v>
      </c>
      <c r="R22" s="147">
        <v>0.30982309124767227</v>
      </c>
      <c r="S22" s="147">
        <v>0.32448789571694592</v>
      </c>
      <c r="T22" s="147">
        <v>0.48417132216014891</v>
      </c>
      <c r="U22" s="147">
        <v>0.60684357541899447</v>
      </c>
      <c r="V22" s="147">
        <v>0.52560521415270034</v>
      </c>
      <c r="W22" s="147">
        <v>0.52118249534450634</v>
      </c>
      <c r="X22" s="147">
        <v>0.54329608938547458</v>
      </c>
      <c r="Y22" s="147">
        <v>0.57844506517690863</v>
      </c>
      <c r="Z22" s="147">
        <v>0.89897579143389184</v>
      </c>
      <c r="AJ22" s="41"/>
    </row>
    <row r="23" spans="2:36" ht="24" customHeight="1" thickBot="1">
      <c r="B23" s="65" t="s">
        <v>73</v>
      </c>
      <c r="C23" s="94">
        <v>6</v>
      </c>
      <c r="D23" s="94">
        <v>8</v>
      </c>
      <c r="E23" s="94">
        <v>7</v>
      </c>
      <c r="F23" s="94">
        <v>7</v>
      </c>
      <c r="G23" s="95">
        <v>6</v>
      </c>
      <c r="J23" s="43" t="s">
        <v>84</v>
      </c>
      <c r="K23" s="197" t="s">
        <v>104</v>
      </c>
      <c r="L23" s="42">
        <v>0</v>
      </c>
      <c r="M23" s="147">
        <v>-5.6872037914692086E-2</v>
      </c>
      <c r="N23" s="147">
        <v>8.1516587677725072E-2</v>
      </c>
      <c r="O23" s="147">
        <v>6.3507109004739437E-2</v>
      </c>
      <c r="P23" s="147">
        <v>8.9099526066350743E-2</v>
      </c>
      <c r="Q23" s="147">
        <v>0.26729857819905201</v>
      </c>
      <c r="R23" s="147">
        <v>6.5402843601895633E-2</v>
      </c>
      <c r="S23" s="147">
        <v>0.24454976303317544</v>
      </c>
      <c r="T23" s="147">
        <v>0.33175355450236976</v>
      </c>
      <c r="U23" s="147">
        <v>0.45308056872037894</v>
      </c>
      <c r="V23" s="147">
        <v>0.26066350710900466</v>
      </c>
      <c r="W23" s="147">
        <v>0.23886255924170596</v>
      </c>
      <c r="X23" s="147">
        <v>1.8009478672985635E-2</v>
      </c>
      <c r="Y23" s="147">
        <v>0.10995260663507089</v>
      </c>
      <c r="Z23" s="147">
        <v>0.38767772511848309</v>
      </c>
      <c r="AA23" s="153"/>
      <c r="AB23" s="153"/>
      <c r="AC23" s="153"/>
      <c r="AD23" s="153"/>
      <c r="AE23" s="153"/>
      <c r="AF23" s="153"/>
      <c r="AG23" s="153"/>
      <c r="AH23" s="153"/>
      <c r="AI23" s="153"/>
      <c r="AJ23" s="154"/>
    </row>
    <row r="24" spans="2:36" ht="24" customHeight="1" thickBot="1">
      <c r="J24" s="216" t="s">
        <v>58</v>
      </c>
      <c r="K24" s="217"/>
      <c r="L24" s="40">
        <v>0</v>
      </c>
      <c r="M24" s="39">
        <f>AVERAGE(M16:M23)</f>
        <v>-2.7528151877032059E-2</v>
      </c>
      <c r="N24" s="39">
        <f t="shared" ref="N24:AJ24" si="1">AVERAGE(N16:N23)</f>
        <v>3.6257501821421456E-3</v>
      </c>
      <c r="O24" s="39">
        <f t="shared" si="1"/>
        <v>-1.6451836477995446E-3</v>
      </c>
      <c r="P24" s="39">
        <f t="shared" si="1"/>
        <v>-6.2245198668074014E-3</v>
      </c>
      <c r="Q24" s="39">
        <f t="shared" si="1"/>
        <v>2.4790502732296021E-3</v>
      </c>
      <c r="R24" s="39">
        <f t="shared" si="1"/>
        <v>-7.0309571826086659E-2</v>
      </c>
      <c r="S24" s="39">
        <f t="shared" si="1"/>
        <v>-1.6643836289492842E-2</v>
      </c>
      <c r="T24" s="39">
        <f t="shared" si="1"/>
        <v>8.4214284364543507E-2</v>
      </c>
      <c r="U24" s="39">
        <f t="shared" si="1"/>
        <v>0.12388721616577503</v>
      </c>
      <c r="V24" s="39">
        <f t="shared" si="1"/>
        <v>0.13276970588250672</v>
      </c>
      <c r="W24" s="39">
        <f t="shared" si="1"/>
        <v>0.10665946337007334</v>
      </c>
      <c r="X24" s="39">
        <f t="shared" si="1"/>
        <v>1.415017178231151E-2</v>
      </c>
      <c r="Y24" s="39">
        <f t="shared" si="1"/>
        <v>-1.041192248547429E-3</v>
      </c>
      <c r="Z24" s="39">
        <f t="shared" si="1"/>
        <v>9.6508150050305053E-2</v>
      </c>
      <c r="AA24" s="39">
        <f t="shared" si="1"/>
        <v>-5.1041666993257927E-2</v>
      </c>
      <c r="AB24" s="39">
        <f t="shared" si="1"/>
        <v>-8.0740090767861691E-2</v>
      </c>
      <c r="AC24" s="39">
        <f t="shared" si="1"/>
        <v>-5.9288113770834316E-2</v>
      </c>
      <c r="AD24" s="39">
        <f t="shared" si="1"/>
        <v>-8.7400543145592161E-2</v>
      </c>
      <c r="AE24" s="39">
        <f t="shared" si="1"/>
        <v>-4.1748294610374215E-2</v>
      </c>
      <c r="AF24" s="39">
        <f t="shared" si="1"/>
        <v>6.2351769830085169E-2</v>
      </c>
      <c r="AG24" s="39">
        <f t="shared" si="1"/>
        <v>0.13612365896017023</v>
      </c>
      <c r="AH24" s="39">
        <f t="shared" si="1"/>
        <v>0.1376171457887467</v>
      </c>
      <c r="AI24" s="39">
        <f t="shared" si="1"/>
        <v>0.1003486196842584</v>
      </c>
      <c r="AJ24" s="38">
        <f t="shared" si="1"/>
        <v>-6.6079911813838058E-2</v>
      </c>
    </row>
    <row r="25" spans="2:36" ht="22.05" customHeigh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30" hidden="1"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1.05" hidden="1" customHeight="1">
      <c r="J27" s="206" t="s">
        <v>91</v>
      </c>
      <c r="K27" s="207"/>
      <c r="L27" s="158">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52">
        <v>0.15979569178065556</v>
      </c>
    </row>
    <row r="28" spans="2:36" ht="1.05" hidden="1"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0.38842044041457058</v>
      </c>
      <c r="AF28" s="147">
        <v>0.46797880909447076</v>
      </c>
      <c r="AG28" s="147">
        <v>0.43129381818358792</v>
      </c>
      <c r="AH28" s="147">
        <v>0.46996211042729796</v>
      </c>
      <c r="AI28" s="147">
        <v>0.44902672224777396</v>
      </c>
      <c r="AJ28" s="152">
        <v>0.36564289381915693</v>
      </c>
    </row>
    <row r="29" spans="2:36" ht="1.05" hidden="1"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52">
        <v>0.24249812060483178</v>
      </c>
    </row>
    <row r="30" spans="2:36" ht="1.05" hidden="1"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1.05" hidden="1"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0.20531230398190772</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8" spans="10:36" ht="35.25" hidden="1" thickBot="1">
      <c r="J68" s="214" t="s">
        <v>131</v>
      </c>
      <c r="K68" s="21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hidden="1">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hidden="1">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hidden="1">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7.25" hidden="1"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7.25" hidden="1"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J24:K24"/>
    <mergeCell ref="F1:H1"/>
    <mergeCell ref="B2:D3"/>
    <mergeCell ref="J2:K2"/>
    <mergeCell ref="J11:K11"/>
    <mergeCell ref="J15:K15"/>
    <mergeCell ref="J73:K73"/>
    <mergeCell ref="J26:K26"/>
    <mergeCell ref="J27:K27"/>
    <mergeCell ref="J28:K28"/>
    <mergeCell ref="J29:K29"/>
    <mergeCell ref="J30:K30"/>
    <mergeCell ref="J31:K31"/>
    <mergeCell ref="J68:K68"/>
    <mergeCell ref="J69:K69"/>
    <mergeCell ref="J70:K70"/>
    <mergeCell ref="J71:K71"/>
    <mergeCell ref="J72:K72"/>
  </mergeCells>
  <phoneticPr fontId="13" type="noConversion"/>
  <conditionalFormatting sqref="C16:G23">
    <cfRule type="cellIs" dxfId="138" priority="6" operator="between">
      <formula>7</formula>
      <formula>8</formula>
    </cfRule>
    <cfRule type="cellIs" dxfId="137" priority="7" operator="between">
      <formula>1</formula>
      <formula>2</formula>
    </cfRule>
  </conditionalFormatting>
  <conditionalFormatting sqref="F3">
    <cfRule type="cellIs" dxfId="136" priority="2" operator="equal">
      <formula>"GOOD"</formula>
    </cfRule>
    <cfRule type="cellIs" dxfId="135" priority="4" operator="equal">
      <formula>"GOOD"</formula>
    </cfRule>
    <cfRule type="top10" dxfId="134" priority="5" percent="1" rank="10"/>
  </conditionalFormatting>
  <conditionalFormatting sqref="G3">
    <cfRule type="cellIs" dxfId="133" priority="1" operator="equal">
      <formula>"BAD"</formula>
    </cfRule>
    <cfRule type="cellIs" dxfId="132" priority="3" operator="equal">
      <formula>"BAD"</formula>
    </cfRule>
  </conditionalFormatting>
  <pageMargins left="0.7" right="0.7" top="0.75" bottom="0.75" header="0.3" footer="0.3"/>
  <pageSetup paperSize="9" orientation="portrait" horizontalDpi="360" verticalDpi="36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76913-E47D-6146-9EE9-6E6C297EC4AC}">
  <dimension ref="B1:AJ73"/>
  <sheetViews>
    <sheetView topLeftCell="K58" zoomScale="61" zoomScaleNormal="55" workbookViewId="0">
      <selection activeCell="AK102" sqref="AK102"/>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18"/>
      <c r="G1" s="219"/>
      <c r="H1" s="219"/>
    </row>
    <row r="2" spans="2:36" ht="24" customHeight="1" thickBot="1">
      <c r="B2" s="240" t="s">
        <v>108</v>
      </c>
      <c r="C2" s="241"/>
      <c r="D2" s="242"/>
      <c r="J2" s="226" t="s">
        <v>60</v>
      </c>
      <c r="K2" s="227"/>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43"/>
      <c r="C3" s="244"/>
      <c r="D3" s="245"/>
      <c r="F3" s="188" t="s">
        <v>130</v>
      </c>
      <c r="G3" s="189" t="s">
        <v>129</v>
      </c>
      <c r="J3" s="48" t="s">
        <v>81</v>
      </c>
      <c r="K3" s="190" t="s">
        <v>99</v>
      </c>
      <c r="L3" s="42">
        <v>0</v>
      </c>
      <c r="M3" s="147">
        <v>2.0032995522036412E-2</v>
      </c>
      <c r="N3" s="147">
        <v>1.1784115012962726E-3</v>
      </c>
      <c r="O3" s="147">
        <v>-0.21140702333254768</v>
      </c>
      <c r="P3" s="147">
        <v>-0.16780579778458626</v>
      </c>
      <c r="Q3" s="147">
        <v>-0.19868017911854818</v>
      </c>
      <c r="R3" s="147">
        <v>-0.32665566815932123</v>
      </c>
      <c r="S3" s="147">
        <v>-0.20645769502710343</v>
      </c>
      <c r="T3" s="147">
        <v>-0.12868253594155077</v>
      </c>
      <c r="U3" s="147">
        <v>-0.2649069054913975</v>
      </c>
      <c r="V3" s="147">
        <v>-0.21894885694084365</v>
      </c>
      <c r="W3" s="147">
        <v>-0.26302144708932351</v>
      </c>
      <c r="X3" s="147">
        <v>-0.2858826302144708</v>
      </c>
      <c r="Y3" s="147">
        <v>-0.33160499646476538</v>
      </c>
      <c r="Z3" s="147">
        <v>-0.34103228847513534</v>
      </c>
      <c r="AA3" s="147">
        <v>-0.20103700212114051</v>
      </c>
      <c r="AB3" s="147">
        <v>-0.24228140466650938</v>
      </c>
      <c r="AC3" s="147">
        <v>-0.29908083902898874</v>
      </c>
      <c r="AD3" s="147">
        <v>-0.39948149893942952</v>
      </c>
      <c r="AE3" s="147">
        <v>-0.50412444025453684</v>
      </c>
      <c r="AF3" s="147">
        <v>-0.4296488333726135</v>
      </c>
      <c r="AG3" s="147">
        <v>-0.35564459109120872</v>
      </c>
      <c r="AH3" s="147">
        <v>-0.32901249116191345</v>
      </c>
      <c r="AI3" s="147">
        <v>-0.23073297195380593</v>
      </c>
      <c r="AJ3" s="152">
        <v>-0.34480320527928321</v>
      </c>
    </row>
    <row r="4" spans="2:36" ht="24" customHeight="1" thickBot="1">
      <c r="J4" s="43" t="s">
        <v>81</v>
      </c>
      <c r="K4" s="191" t="s">
        <v>98</v>
      </c>
      <c r="L4" s="45">
        <v>0</v>
      </c>
      <c r="M4" s="147">
        <v>-6.3548102383053862E-2</v>
      </c>
      <c r="N4" s="147">
        <v>-5.1191526919682206E-2</v>
      </c>
      <c r="O4" s="147">
        <v>-0.17299205648720217</v>
      </c>
      <c r="P4" s="147">
        <v>0.27802294792586069</v>
      </c>
      <c r="Q4" s="147">
        <v>0.13857016769638153</v>
      </c>
      <c r="R4" s="147">
        <v>-0.14386584289496906</v>
      </c>
      <c r="S4" s="147">
        <v>0.15710503089143879</v>
      </c>
      <c r="T4" s="147">
        <v>0.15092674315975296</v>
      </c>
      <c r="U4" s="147">
        <v>-9.3556928508384707E-2</v>
      </c>
      <c r="V4" s="147">
        <v>0.1103265666372466</v>
      </c>
      <c r="W4" s="147">
        <v>3.7952338923213036E-2</v>
      </c>
      <c r="X4" s="147">
        <v>-0.13150926743159719</v>
      </c>
      <c r="Y4" s="147">
        <v>-0.1624007060900261</v>
      </c>
      <c r="Z4" s="147">
        <v>-0.27360988526037033</v>
      </c>
      <c r="AA4" s="147">
        <v>-0.14651368049426261</v>
      </c>
      <c r="AB4" s="147">
        <v>-0.17917034421888745</v>
      </c>
      <c r="AC4" s="147">
        <v>-0.44571932921447455</v>
      </c>
      <c r="AD4" s="147">
        <v>-0.57281553398058227</v>
      </c>
      <c r="AE4" s="147">
        <v>-0.70079435127978806</v>
      </c>
      <c r="AF4" s="147">
        <v>-0.6548984995586935</v>
      </c>
      <c r="AG4" s="147">
        <v>-0.51809355692850811</v>
      </c>
      <c r="AH4" s="147">
        <v>-0.57016769638128828</v>
      </c>
      <c r="AI4" s="147">
        <v>-0.38746690203000833</v>
      </c>
      <c r="AJ4" s="152">
        <v>-0.28420123565754574</v>
      </c>
    </row>
    <row r="5" spans="2:36" ht="24" customHeight="1">
      <c r="B5" s="51"/>
      <c r="C5" s="50">
        <v>2021</v>
      </c>
      <c r="D5" s="50">
        <v>2022</v>
      </c>
      <c r="E5" s="50">
        <v>2023</v>
      </c>
      <c r="F5" s="50">
        <v>2024</v>
      </c>
      <c r="G5" s="49">
        <v>2025</v>
      </c>
      <c r="J5" s="44" t="s">
        <v>82</v>
      </c>
      <c r="K5" s="192" t="s">
        <v>104</v>
      </c>
      <c r="L5" s="46">
        <v>0</v>
      </c>
      <c r="M5" s="147">
        <v>-7.5254237288135517E-2</v>
      </c>
      <c r="N5" s="147">
        <v>2.0338983050847137E-3</v>
      </c>
      <c r="O5" s="147">
        <v>0.21627118644067811</v>
      </c>
      <c r="P5" s="147">
        <v>0.13559322033898313</v>
      </c>
      <c r="Q5" s="147">
        <v>-1.3559322033896981E-3</v>
      </c>
      <c r="R5" s="147">
        <v>-0.13152542372881337</v>
      </c>
      <c r="S5" s="147">
        <v>-0.24406779661016931</v>
      </c>
      <c r="T5" s="147">
        <v>-0.15728813559322019</v>
      </c>
      <c r="U5" s="147">
        <v>-6.847457627118636E-2</v>
      </c>
      <c r="V5" s="147">
        <v>-3.5254237288135482E-2</v>
      </c>
      <c r="W5" s="147">
        <v>6.3050847457627235E-2</v>
      </c>
      <c r="X5" s="147">
        <v>4.067796610169494E-2</v>
      </c>
      <c r="Y5" s="147">
        <v>-8.4067796610169498E-2</v>
      </c>
      <c r="Z5" s="147">
        <v>-0.22033898305084754</v>
      </c>
      <c r="AA5" s="147">
        <v>-0.23186440677966114</v>
      </c>
      <c r="AB5" s="147">
        <v>-0.27864406779661022</v>
      </c>
      <c r="AC5" s="147">
        <v>-0.28000000000000014</v>
      </c>
      <c r="AD5" s="147">
        <v>-0.23796610169491528</v>
      </c>
      <c r="AE5" s="147">
        <v>-9.152542372881356E-2</v>
      </c>
      <c r="AF5" s="147">
        <v>-1.5593220338983027E-2</v>
      </c>
      <c r="AG5" s="147">
        <v>0.18169491525423731</v>
      </c>
      <c r="AH5" s="147">
        <v>0.14711864406779673</v>
      </c>
      <c r="AI5" s="147">
        <v>-2.7118644067796627E-2</v>
      </c>
      <c r="AJ5" s="152">
        <v>-0.28474576271186436</v>
      </c>
    </row>
    <row r="6" spans="2:36" ht="24" customHeight="1">
      <c r="B6" s="47" t="s">
        <v>69</v>
      </c>
      <c r="C6" s="138">
        <v>0.46517999610819227</v>
      </c>
      <c r="D6" s="139">
        <v>0.7466058864334556</v>
      </c>
      <c r="E6" s="139">
        <v>0.82627138541487311</v>
      </c>
      <c r="F6" s="139">
        <v>0.86848070745988903</v>
      </c>
      <c r="G6" s="140">
        <v>0.88433678383256309</v>
      </c>
      <c r="H6" s="1"/>
      <c r="J6" s="43" t="s">
        <v>82</v>
      </c>
      <c r="K6" s="191" t="s">
        <v>98</v>
      </c>
      <c r="L6" s="45">
        <v>0</v>
      </c>
      <c r="M6" s="147">
        <v>-3.5569105691056868E-2</v>
      </c>
      <c r="N6" s="147">
        <v>-0.16361788617886164</v>
      </c>
      <c r="O6" s="147">
        <v>-1.7276422764227584E-2</v>
      </c>
      <c r="P6" s="147">
        <v>-5.4878048780487743E-2</v>
      </c>
      <c r="Q6" s="147">
        <v>-0.36178861788617878</v>
      </c>
      <c r="R6" s="147">
        <v>-0.50813008130081294</v>
      </c>
      <c r="S6" s="147">
        <v>-0.65548780487804881</v>
      </c>
      <c r="T6" s="147">
        <v>-0.60264227642276413</v>
      </c>
      <c r="U6" s="147">
        <v>-0.44512195121951215</v>
      </c>
      <c r="V6" s="147">
        <v>-0.50508130081300806</v>
      </c>
      <c r="W6" s="147">
        <v>-0.2947154471544714</v>
      </c>
      <c r="X6" s="147">
        <v>-0.17581300813008116</v>
      </c>
      <c r="Y6" s="147">
        <v>-0.38617886178861771</v>
      </c>
      <c r="Z6" s="147">
        <v>-0.44410569105691045</v>
      </c>
      <c r="AA6" s="147">
        <v>-0.4989837398373983</v>
      </c>
      <c r="AB6" s="147">
        <v>-0.59949186991869907</v>
      </c>
      <c r="AC6" s="147">
        <v>-0.63109756097560976</v>
      </c>
      <c r="AD6" s="147">
        <v>-0.45630081300813008</v>
      </c>
      <c r="AE6" s="147">
        <v>-0.38211382113821135</v>
      </c>
      <c r="AF6" s="147">
        <v>-0.40752032520325199</v>
      </c>
      <c r="AG6" s="147">
        <v>-0.27743902439024382</v>
      </c>
      <c r="AH6" s="147">
        <v>-0.14329268292682917</v>
      </c>
      <c r="AI6" s="147">
        <v>-0.26829268292682917</v>
      </c>
      <c r="AJ6" s="152">
        <v>-0.55894308943089421</v>
      </c>
    </row>
    <row r="7" spans="2:36" ht="24" customHeight="1">
      <c r="B7" s="47" t="s">
        <v>70</v>
      </c>
      <c r="C7" s="141">
        <v>0.95</v>
      </c>
      <c r="D7" s="142">
        <v>0.66</v>
      </c>
      <c r="E7" s="142">
        <v>0.73</v>
      </c>
      <c r="F7" s="142">
        <v>0.78</v>
      </c>
      <c r="G7" s="143">
        <v>0.89</v>
      </c>
      <c r="H7" s="1"/>
      <c r="J7" s="44" t="s">
        <v>83</v>
      </c>
      <c r="K7" s="192" t="s">
        <v>104</v>
      </c>
      <c r="L7" s="46">
        <v>0</v>
      </c>
      <c r="M7" s="147">
        <v>-0.11986970684039089</v>
      </c>
      <c r="N7" s="147">
        <v>-0.250814332247557</v>
      </c>
      <c r="O7" s="147">
        <v>-0.26188925081433223</v>
      </c>
      <c r="P7" s="147">
        <v>-0.30684039087947879</v>
      </c>
      <c r="Q7" s="147">
        <v>-0.30814332247557008</v>
      </c>
      <c r="R7" s="147">
        <v>-0.26775244299674261</v>
      </c>
      <c r="S7" s="147">
        <v>-0.12703583061889245</v>
      </c>
      <c r="T7" s="147">
        <v>-5.4071661237784951E-2</v>
      </c>
      <c r="U7" s="147">
        <v>0.13550488599348531</v>
      </c>
      <c r="V7" s="147">
        <v>0.10228013029315974</v>
      </c>
      <c r="W7" s="147">
        <v>-6.514657980456029E-2</v>
      </c>
      <c r="X7" s="147">
        <v>-0.31270358306188917</v>
      </c>
      <c r="Y7" s="147">
        <v>-0.35179153094462545</v>
      </c>
      <c r="Z7" s="147">
        <v>-0.25667752442996739</v>
      </c>
      <c r="AA7" s="147">
        <v>-0.2690553745928338</v>
      </c>
      <c r="AB7" s="147">
        <v>-0.25146579804560265</v>
      </c>
      <c r="AC7" s="147">
        <v>-0.12899022801302951</v>
      </c>
      <c r="AD7" s="147">
        <v>-0.26775244299674283</v>
      </c>
      <c r="AE7" s="147">
        <v>-0.14462540716612382</v>
      </c>
      <c r="AF7" s="147">
        <v>-8.4690553745928376E-2</v>
      </c>
      <c r="AG7" s="147">
        <v>-1.3029315960914056E-3</v>
      </c>
      <c r="AH7" s="147">
        <v>-0.13355048859934859</v>
      </c>
      <c r="AI7" s="147">
        <v>-0.14853420195439748</v>
      </c>
      <c r="AJ7" s="152">
        <v>-0.30032573289902287</v>
      </c>
    </row>
    <row r="8" spans="2:36" ht="24" customHeight="1">
      <c r="B8" s="47" t="s">
        <v>71</v>
      </c>
      <c r="C8" s="141">
        <v>0.52895108486326869</v>
      </c>
      <c r="D8" s="142">
        <v>0.74192809709182506</v>
      </c>
      <c r="E8" s="142">
        <v>0.75621576064053941</v>
      </c>
      <c r="F8" s="142">
        <v>0.67737304862731029</v>
      </c>
      <c r="G8" s="143">
        <v>0.55694309429447397</v>
      </c>
      <c r="J8" s="43" t="s">
        <v>83</v>
      </c>
      <c r="K8" s="191" t="s">
        <v>102</v>
      </c>
      <c r="L8" s="45">
        <v>0</v>
      </c>
      <c r="M8" s="147">
        <v>4.5863694813544909E-2</v>
      </c>
      <c r="N8" s="147">
        <v>6.5795113587655552E-2</v>
      </c>
      <c r="O8" s="147">
        <v>-7.0724389198455473E-3</v>
      </c>
      <c r="P8" s="147">
        <v>-9.9657093870552882E-2</v>
      </c>
      <c r="Q8" s="147">
        <v>-0.10758679811401617</v>
      </c>
      <c r="R8" s="147">
        <v>6.6652378911273402E-2</v>
      </c>
      <c r="S8" s="147">
        <v>0.2016716673810548</v>
      </c>
      <c r="T8" s="147">
        <v>0.34440634376339507</v>
      </c>
      <c r="U8" s="147">
        <v>0.2743249035576516</v>
      </c>
      <c r="V8" s="147">
        <v>0.4170595799399921</v>
      </c>
      <c r="W8" s="147">
        <v>0.26639519931418842</v>
      </c>
      <c r="X8" s="147">
        <v>-7.9297042434632981E-2</v>
      </c>
      <c r="Y8" s="147">
        <v>-0.12087441063008952</v>
      </c>
      <c r="Z8" s="147">
        <v>2.1860265752250863E-2</v>
      </c>
      <c r="AA8" s="147">
        <v>4.1577368195456987E-2</v>
      </c>
      <c r="AB8" s="147">
        <v>0.12687526789541415</v>
      </c>
      <c r="AC8" s="147">
        <v>0.31290184312044644</v>
      </c>
      <c r="AD8" s="147">
        <v>0.20595799399914339</v>
      </c>
      <c r="AE8" s="147">
        <v>0.21945992284612137</v>
      </c>
      <c r="AF8" s="147">
        <v>0.36648092584655001</v>
      </c>
      <c r="AG8" s="147">
        <v>0.47942563223317691</v>
      </c>
      <c r="AH8" s="147">
        <v>0.40462923274753626</v>
      </c>
      <c r="AI8" s="147">
        <v>0.40055722246035197</v>
      </c>
      <c r="AJ8" s="152">
        <v>0.42091727389627143</v>
      </c>
    </row>
    <row r="9" spans="2:36" ht="24" customHeight="1">
      <c r="B9" s="47" t="s">
        <v>72</v>
      </c>
      <c r="C9" s="141">
        <v>0.47114771617868034</v>
      </c>
      <c r="D9" s="142">
        <v>0.54145585289748621</v>
      </c>
      <c r="E9" s="142">
        <v>0.53511041331959308</v>
      </c>
      <c r="F9" s="142">
        <v>0.54112612056250575</v>
      </c>
      <c r="G9" s="143">
        <v>0.60344063015211036</v>
      </c>
      <c r="J9" s="44" t="s">
        <v>84</v>
      </c>
      <c r="K9" s="190" t="s">
        <v>104</v>
      </c>
      <c r="L9" s="42">
        <v>0</v>
      </c>
      <c r="M9" s="147">
        <v>-5.6872037914692086E-2</v>
      </c>
      <c r="N9" s="147">
        <v>8.1516587677725072E-2</v>
      </c>
      <c r="O9" s="147">
        <v>6.3507109004739437E-2</v>
      </c>
      <c r="P9" s="147">
        <v>8.9099526066350743E-2</v>
      </c>
      <c r="Q9" s="147">
        <v>0.26729857819905201</v>
      </c>
      <c r="R9" s="147">
        <v>6.5402843601895633E-2</v>
      </c>
      <c r="S9" s="147">
        <v>0.24454976303317544</v>
      </c>
      <c r="T9" s="147">
        <v>0.33175355450236976</v>
      </c>
      <c r="U9" s="147">
        <v>0.45308056872037894</v>
      </c>
      <c r="V9" s="147">
        <v>0.26066350710900466</v>
      </c>
      <c r="W9" s="147">
        <v>0.23886255924170596</v>
      </c>
      <c r="X9" s="147">
        <v>1.8009478672985635E-2</v>
      </c>
      <c r="Y9" s="147">
        <v>0.10995260663507089</v>
      </c>
      <c r="Z9" s="147">
        <v>0.38767772511848309</v>
      </c>
      <c r="AJ9" s="41"/>
    </row>
    <row r="10" spans="2:36" ht="24" customHeight="1" thickBot="1">
      <c r="B10" s="63" t="s">
        <v>75</v>
      </c>
      <c r="C10" s="141">
        <v>0.4463916001183082</v>
      </c>
      <c r="D10" s="142">
        <v>0.68632667590961893</v>
      </c>
      <c r="E10" s="142">
        <v>0.71492304260539818</v>
      </c>
      <c r="F10" s="142">
        <v>0.60461327946830001</v>
      </c>
      <c r="G10" s="143">
        <v>0.54245607733979828</v>
      </c>
      <c r="J10" s="43" t="s">
        <v>84</v>
      </c>
      <c r="K10" s="190" t="s">
        <v>102</v>
      </c>
      <c r="L10" s="42">
        <v>0</v>
      </c>
      <c r="M10" s="147">
        <v>-4.5158286778398504E-2</v>
      </c>
      <c r="N10" s="147">
        <v>0.10986964618249528</v>
      </c>
      <c r="O10" s="147">
        <v>0.13128491620111715</v>
      </c>
      <c r="P10" s="147">
        <v>0.22392923649906882</v>
      </c>
      <c r="Q10" s="147">
        <v>0.42597765363128492</v>
      </c>
      <c r="R10" s="147">
        <v>0.30982309124767227</v>
      </c>
      <c r="S10" s="147">
        <v>0.32448789571694592</v>
      </c>
      <c r="T10" s="147">
        <v>0.48417132216014891</v>
      </c>
      <c r="U10" s="147">
        <v>0.60684357541899447</v>
      </c>
      <c r="V10" s="147">
        <v>0.52560521415270034</v>
      </c>
      <c r="W10" s="147">
        <v>0.52118249534450634</v>
      </c>
      <c r="X10" s="147">
        <v>0.54329608938547458</v>
      </c>
      <c r="Y10" s="147">
        <v>0.57844506517690863</v>
      </c>
      <c r="Z10" s="147">
        <v>0.89897579143389184</v>
      </c>
      <c r="AA10" s="153"/>
      <c r="AB10" s="153"/>
      <c r="AC10" s="153"/>
      <c r="AD10" s="153"/>
      <c r="AE10" s="153"/>
      <c r="AF10" s="153"/>
      <c r="AG10" s="153"/>
      <c r="AH10" s="153"/>
      <c r="AI10" s="153"/>
      <c r="AJ10" s="154"/>
    </row>
    <row r="11" spans="2:36" ht="24" customHeight="1" thickBot="1">
      <c r="B11" s="47" t="s">
        <v>76</v>
      </c>
      <c r="C11" s="141">
        <v>0.44119012751366216</v>
      </c>
      <c r="D11" s="142">
        <v>0.68564523581049863</v>
      </c>
      <c r="E11" s="142">
        <v>0.72405291850411468</v>
      </c>
      <c r="F11" s="142">
        <v>0.68264448387190602</v>
      </c>
      <c r="G11" s="143">
        <v>0.7096613421714969</v>
      </c>
      <c r="J11" s="216" t="s">
        <v>58</v>
      </c>
      <c r="K11" s="217"/>
      <c r="L11" s="40">
        <v>0</v>
      </c>
      <c r="M11" s="39">
        <f t="shared" ref="M11:AJ11" si="0">AVERAGE(M3:M10)</f>
        <v>-4.1296848320018301E-2</v>
      </c>
      <c r="N11" s="39">
        <f t="shared" si="0"/>
        <v>-2.5653761011480494E-2</v>
      </c>
      <c r="O11" s="39">
        <f t="shared" si="0"/>
        <v>-3.2446747583952565E-2</v>
      </c>
      <c r="P11" s="39">
        <f t="shared" si="0"/>
        <v>1.2182949939394713E-2</v>
      </c>
      <c r="Q11" s="39">
        <f t="shared" si="0"/>
        <v>-1.8213556283873056E-2</v>
      </c>
      <c r="R11" s="39">
        <f t="shared" si="0"/>
        <v>-0.11700639316497724</v>
      </c>
      <c r="S11" s="39">
        <f t="shared" si="0"/>
        <v>-3.8154346263949895E-2</v>
      </c>
      <c r="T11" s="39">
        <f t="shared" si="0"/>
        <v>4.6071669298793333E-2</v>
      </c>
      <c r="U11" s="39">
        <f t="shared" si="0"/>
        <v>7.4711696525003701E-2</v>
      </c>
      <c r="V11" s="39">
        <f t="shared" si="0"/>
        <v>8.2081325386264531E-2</v>
      </c>
      <c r="W11" s="39">
        <f t="shared" si="0"/>
        <v>6.3069995779110724E-2</v>
      </c>
      <c r="X11" s="39">
        <f t="shared" si="0"/>
        <v>-4.7902749639064518E-2</v>
      </c>
      <c r="Y11" s="39">
        <f t="shared" si="0"/>
        <v>-9.3565078839539295E-2</v>
      </c>
      <c r="Z11" s="39">
        <f t="shared" si="0"/>
        <v>-2.8406323746075629E-2</v>
      </c>
      <c r="AA11" s="39">
        <f t="shared" si="0"/>
        <v>-0.21764613927163992</v>
      </c>
      <c r="AB11" s="39">
        <f t="shared" si="0"/>
        <v>-0.23736303612514911</v>
      </c>
      <c r="AC11" s="39">
        <f t="shared" si="0"/>
        <v>-0.2453310190186094</v>
      </c>
      <c r="AD11" s="39">
        <f t="shared" si="0"/>
        <v>-0.28805973277010943</v>
      </c>
      <c r="AE11" s="39">
        <f t="shared" si="0"/>
        <v>-0.26728725345355869</v>
      </c>
      <c r="AF11" s="39">
        <f t="shared" si="0"/>
        <v>-0.20431175106215341</v>
      </c>
      <c r="AG11" s="39">
        <f t="shared" si="0"/>
        <v>-8.1893259419772976E-2</v>
      </c>
      <c r="AH11" s="39">
        <f t="shared" si="0"/>
        <v>-0.10404591370900773</v>
      </c>
      <c r="AI11" s="39">
        <f t="shared" si="0"/>
        <v>-0.11026469674541424</v>
      </c>
      <c r="AJ11" s="38">
        <f t="shared" si="0"/>
        <v>-0.22535029201372317</v>
      </c>
    </row>
    <row r="12" spans="2:36" ht="24" customHeight="1">
      <c r="B12" s="64" t="s">
        <v>74</v>
      </c>
      <c r="C12" s="141">
        <v>0.38574101767105379</v>
      </c>
      <c r="D12" s="142">
        <v>0.66338087403067891</v>
      </c>
      <c r="E12" s="142">
        <v>0.77590963585676942</v>
      </c>
      <c r="F12" s="142">
        <v>0.78606211299909767</v>
      </c>
      <c r="G12" s="143">
        <v>0.78482173107200515</v>
      </c>
    </row>
    <row r="13" spans="2:36" ht="24" customHeight="1" thickBot="1">
      <c r="B13" s="65" t="s">
        <v>73</v>
      </c>
      <c r="C13" s="144">
        <v>0.41404189025445731</v>
      </c>
      <c r="D13" s="145">
        <v>0.69890222249856648</v>
      </c>
      <c r="E13" s="145">
        <v>0.79554861168215329</v>
      </c>
      <c r="F13" s="145">
        <v>0.8273339775594567</v>
      </c>
      <c r="G13" s="146">
        <v>0.80878683251536487</v>
      </c>
    </row>
    <row r="14" spans="2:36" ht="24" customHeight="1" thickBot="1"/>
    <row r="15" spans="2:36" ht="24" customHeight="1" thickBot="1">
      <c r="B15" s="51"/>
      <c r="C15" s="50">
        <v>2021</v>
      </c>
      <c r="D15" s="50">
        <v>2022</v>
      </c>
      <c r="E15" s="50">
        <v>2023</v>
      </c>
      <c r="F15" s="50">
        <v>2024</v>
      </c>
      <c r="G15" s="49">
        <v>2025</v>
      </c>
      <c r="J15" s="228" t="s">
        <v>129</v>
      </c>
      <c r="K15" s="229"/>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4</v>
      </c>
      <c r="D16" s="84">
        <v>1</v>
      </c>
      <c r="E16" s="84">
        <v>1</v>
      </c>
      <c r="F16" s="84">
        <v>1</v>
      </c>
      <c r="G16" s="85">
        <v>2</v>
      </c>
      <c r="J16" s="48" t="s">
        <v>81</v>
      </c>
      <c r="K16" s="197" t="s">
        <v>102</v>
      </c>
      <c r="L16" s="42">
        <v>0</v>
      </c>
      <c r="M16" s="147">
        <v>8.7490206320188113E-2</v>
      </c>
      <c r="N16" s="147">
        <v>5.3538782972055499E-2</v>
      </c>
      <c r="O16" s="147">
        <v>-0.26795507965526244</v>
      </c>
      <c r="P16" s="147">
        <v>-0.19639592582919829</v>
      </c>
      <c r="Q16" s="147">
        <v>-0.2149386262731785</v>
      </c>
      <c r="R16" s="147">
        <v>-0.29093758161399852</v>
      </c>
      <c r="S16" s="147">
        <v>-0.14259597806215729</v>
      </c>
      <c r="T16" s="147">
        <v>-0.10603290676416832</v>
      </c>
      <c r="U16" s="147">
        <v>-0.16949595194567779</v>
      </c>
      <c r="V16" s="147">
        <v>-1.2013580569339322E-2</v>
      </c>
      <c r="W16" s="147">
        <v>-3.1078610603290646E-2</v>
      </c>
      <c r="X16" s="147">
        <v>-0.1175241577435362</v>
      </c>
      <c r="Y16" s="147">
        <v>-0.1329328806476886</v>
      </c>
      <c r="Z16" s="147">
        <v>-8.2005745625489679E-2</v>
      </c>
      <c r="AA16" s="147">
        <v>0.2013580569339255</v>
      </c>
      <c r="AB16" s="147">
        <v>0.16897362235570657</v>
      </c>
      <c r="AC16" s="147">
        <v>8.5923217550274211E-2</v>
      </c>
      <c r="AD16" s="147">
        <v>-6.2940715591538243E-2</v>
      </c>
      <c r="AE16" s="147">
        <v>-0.20867067119352312</v>
      </c>
      <c r="AF16" s="147">
        <v>-6.2157221206581403E-2</v>
      </c>
      <c r="AG16" s="147">
        <v>2.1676677983807568E-2</v>
      </c>
      <c r="AH16" s="147">
        <v>-6.0067902846696608E-3</v>
      </c>
      <c r="AI16" s="147">
        <v>7.3387307390963663E-2</v>
      </c>
      <c r="AJ16" s="152">
        <v>0.21859493340297709</v>
      </c>
    </row>
    <row r="17" spans="2:36" ht="24" customHeight="1">
      <c r="B17" s="47" t="s">
        <v>70</v>
      </c>
      <c r="C17" s="84">
        <v>1</v>
      </c>
      <c r="D17" s="84">
        <v>7</v>
      </c>
      <c r="E17" s="84">
        <v>5</v>
      </c>
      <c r="F17" s="84">
        <v>4</v>
      </c>
      <c r="G17" s="85">
        <v>1</v>
      </c>
      <c r="J17" s="43" t="s">
        <v>81</v>
      </c>
      <c r="K17" s="198" t="s">
        <v>96</v>
      </c>
      <c r="L17" s="45">
        <v>0</v>
      </c>
      <c r="M17" s="147">
        <v>8.9301121656600424E-2</v>
      </c>
      <c r="N17" s="147">
        <v>2.7394305435720412E-2</v>
      </c>
      <c r="O17" s="147">
        <v>-0.235979292493529</v>
      </c>
      <c r="P17" s="147">
        <v>-0.20729076790336509</v>
      </c>
      <c r="Q17" s="147">
        <v>-0.24482312338222623</v>
      </c>
      <c r="R17" s="147">
        <v>-0.29831751509922355</v>
      </c>
      <c r="S17" s="147">
        <v>-7.0750647109577458E-2</v>
      </c>
      <c r="T17" s="147">
        <v>-4.7238999137187432E-2</v>
      </c>
      <c r="U17" s="147">
        <v>-0.1867989646246766</v>
      </c>
      <c r="V17" s="147">
        <v>5.6082830025884212E-2</v>
      </c>
      <c r="W17" s="147">
        <v>0.12079378774805849</v>
      </c>
      <c r="X17" s="147">
        <v>-4.5513373597929396E-2</v>
      </c>
      <c r="Y17" s="147">
        <v>-5.5220017256255582E-2</v>
      </c>
      <c r="Z17" s="147">
        <v>2.3943054357204119E-2</v>
      </c>
      <c r="AA17" s="147">
        <v>0.18356341673856713</v>
      </c>
      <c r="AB17" s="147">
        <v>0.17148403796376144</v>
      </c>
      <c r="AC17" s="147">
        <v>7.441760138050002E-2</v>
      </c>
      <c r="AD17" s="147">
        <v>-8.7575496117342944E-2</v>
      </c>
      <c r="AE17" s="147">
        <v>-0.24482312338222634</v>
      </c>
      <c r="AF17" s="147">
        <v>-0.15012942191544465</v>
      </c>
      <c r="AG17" s="147">
        <v>-0.11000862812769663</v>
      </c>
      <c r="AH17" s="147">
        <v>-0.10742018981880963</v>
      </c>
      <c r="AI17" s="147">
        <v>-1.87661777394309E-2</v>
      </c>
      <c r="AJ17" s="152">
        <v>3.2786885245901232E-2</v>
      </c>
    </row>
    <row r="18" spans="2:36" ht="24" customHeight="1">
      <c r="B18" s="47" t="s">
        <v>71</v>
      </c>
      <c r="C18" s="86">
        <v>2</v>
      </c>
      <c r="D18" s="86">
        <v>2</v>
      </c>
      <c r="E18" s="86">
        <v>4</v>
      </c>
      <c r="F18" s="86">
        <v>6</v>
      </c>
      <c r="G18" s="87">
        <v>7</v>
      </c>
      <c r="J18" s="44" t="s">
        <v>82</v>
      </c>
      <c r="K18" s="199" t="s">
        <v>99</v>
      </c>
      <c r="L18" s="46">
        <v>0</v>
      </c>
      <c r="M18" s="147">
        <v>-6.4026402640264046E-2</v>
      </c>
      <c r="N18" s="147">
        <v>-7.7227722772277185E-2</v>
      </c>
      <c r="O18" s="147">
        <v>0.11881188118811892</v>
      </c>
      <c r="P18" s="147">
        <v>6.1056105610561184E-2</v>
      </c>
      <c r="Q18" s="147">
        <v>-1.848184818481835E-2</v>
      </c>
      <c r="R18" s="147">
        <v>-0.15907590759075896</v>
      </c>
      <c r="S18" s="147">
        <v>-0.30561056105610551</v>
      </c>
      <c r="T18" s="147">
        <v>-0.20132013201320109</v>
      </c>
      <c r="U18" s="147">
        <v>-9.7689768976897406E-2</v>
      </c>
      <c r="V18" s="147">
        <v>-6.0396039603960117E-2</v>
      </c>
      <c r="W18" s="147">
        <v>7.7227722772277518E-2</v>
      </c>
      <c r="X18" s="147">
        <v>-8.2508250825082285E-2</v>
      </c>
      <c r="Y18" s="147">
        <v>-0.18052805280528039</v>
      </c>
      <c r="Z18" s="147">
        <v>-0.15181518151815154</v>
      </c>
      <c r="AA18" s="147">
        <v>-9.6039603960395792E-2</v>
      </c>
      <c r="AB18" s="147">
        <v>-0.14356435643564336</v>
      </c>
      <c r="AC18" s="147">
        <v>-8.0528052805280192E-2</v>
      </c>
      <c r="AD18" s="147">
        <v>-5.77557755775574E-2</v>
      </c>
      <c r="AE18" s="147">
        <v>-2.1782178217821357E-2</v>
      </c>
      <c r="AF18" s="147">
        <v>3.5313531353135641E-2</v>
      </c>
      <c r="AG18" s="147">
        <v>7.5577557755776015E-2</v>
      </c>
      <c r="AH18" s="147">
        <v>-1.2541254125412182E-2</v>
      </c>
      <c r="AI18" s="147">
        <v>-9.9009900990065791E-4</v>
      </c>
      <c r="AJ18" s="152">
        <v>7.9867986798680013E-2</v>
      </c>
    </row>
    <row r="19" spans="2:36" ht="24" customHeight="1">
      <c r="B19" s="47" t="s">
        <v>72</v>
      </c>
      <c r="C19" s="86">
        <v>3</v>
      </c>
      <c r="D19" s="86">
        <v>8</v>
      </c>
      <c r="E19" s="86">
        <v>8</v>
      </c>
      <c r="F19" s="86">
        <v>8</v>
      </c>
      <c r="G19" s="87">
        <v>6</v>
      </c>
      <c r="J19" s="43" t="s">
        <v>82</v>
      </c>
      <c r="K19" s="198" t="s">
        <v>101</v>
      </c>
      <c r="L19" s="45">
        <v>0</v>
      </c>
      <c r="M19" s="147">
        <v>0.12969628796400445</v>
      </c>
      <c r="N19" s="147">
        <v>5.9955005624297009E-2</v>
      </c>
      <c r="O19" s="147">
        <v>0.37289088863891995</v>
      </c>
      <c r="P19" s="147">
        <v>0.34488188976377954</v>
      </c>
      <c r="Q19" s="147">
        <v>-3.4083239595050552E-2</v>
      </c>
      <c r="R19" s="147">
        <v>-0.15950506186726654</v>
      </c>
      <c r="S19" s="147">
        <v>-0.27154105736782885</v>
      </c>
      <c r="T19" s="147">
        <v>-0.25106861642294709</v>
      </c>
      <c r="U19" s="147">
        <v>-8.7514060742406974E-2</v>
      </c>
      <c r="V19" s="147">
        <v>-0.13397075365579292</v>
      </c>
      <c r="W19" s="147">
        <v>-0.1960629921259841</v>
      </c>
      <c r="X19" s="147">
        <v>-0.1627671541057365</v>
      </c>
      <c r="Y19" s="147">
        <v>-0.39268841394825627</v>
      </c>
      <c r="Z19" s="147">
        <v>-0.40787401574803139</v>
      </c>
      <c r="AA19" s="147">
        <v>-0.43498312710911136</v>
      </c>
      <c r="AB19" s="147">
        <v>-0.36929133858267715</v>
      </c>
      <c r="AC19" s="147">
        <v>-0.52665916760404952</v>
      </c>
      <c r="AD19" s="147">
        <v>-0.38065241844769404</v>
      </c>
      <c r="AE19" s="147">
        <v>-0.26872890888638923</v>
      </c>
      <c r="AF19" s="147">
        <v>-7.9415073115860602E-2</v>
      </c>
      <c r="AG19" s="147">
        <v>5.8717660292463503E-2</v>
      </c>
      <c r="AH19" s="147">
        <v>0.152193475815523</v>
      </c>
      <c r="AI19" s="147">
        <v>-0.17322834645669305</v>
      </c>
      <c r="AJ19" s="152">
        <v>-0.41901012373453328</v>
      </c>
    </row>
    <row r="20" spans="2:36" ht="24" customHeight="1">
      <c r="B20" s="63" t="s">
        <v>75</v>
      </c>
      <c r="C20" s="88">
        <v>5</v>
      </c>
      <c r="D20" s="89">
        <v>4</v>
      </c>
      <c r="E20" s="89">
        <v>7</v>
      </c>
      <c r="F20" s="89">
        <v>7</v>
      </c>
      <c r="G20" s="90">
        <v>8</v>
      </c>
      <c r="J20" s="44" t="s">
        <v>83</v>
      </c>
      <c r="K20" s="199" t="s">
        <v>97</v>
      </c>
      <c r="L20" s="46">
        <v>0</v>
      </c>
      <c r="M20" s="147">
        <v>-0.23450134770889486</v>
      </c>
      <c r="N20" s="147">
        <v>-0.24663072776280315</v>
      </c>
      <c r="O20" s="147">
        <v>-0.17924528301886788</v>
      </c>
      <c r="P20" s="147">
        <v>-0.1361185983827492</v>
      </c>
      <c r="Q20" s="147">
        <v>-0.3153638814016172</v>
      </c>
      <c r="R20" s="147">
        <v>-0.11590296495956875</v>
      </c>
      <c r="S20" s="147">
        <v>-0.2318059299191374</v>
      </c>
      <c r="T20" s="147">
        <v>-0.19541778975741242</v>
      </c>
      <c r="U20" s="147">
        <v>5.9299191374663218E-2</v>
      </c>
      <c r="V20" s="147">
        <v>-0.11320754716981118</v>
      </c>
      <c r="W20" s="147">
        <v>-0.12129380053908345</v>
      </c>
      <c r="X20" s="147">
        <v>-0.3504043126684635</v>
      </c>
      <c r="Y20" s="147">
        <v>-0.41239892183288396</v>
      </c>
      <c r="Z20" s="147">
        <v>-0.31940700808625333</v>
      </c>
      <c r="AA20" s="147">
        <v>-0.42991913746630717</v>
      </c>
      <c r="AB20" s="147">
        <v>-0.40161725067385434</v>
      </c>
      <c r="AC20" s="147">
        <v>-0.27897574123989222</v>
      </c>
      <c r="AD20" s="147">
        <v>-0.33692722371967654</v>
      </c>
      <c r="AE20" s="147">
        <v>-0.4339622641509433</v>
      </c>
      <c r="AF20" s="147">
        <v>-0.38409703504043113</v>
      </c>
      <c r="AG20" s="147">
        <v>-0.38679245283018859</v>
      </c>
      <c r="AH20" s="147">
        <v>-0.34366576819407002</v>
      </c>
      <c r="AI20" s="147">
        <v>-0.25336927223719674</v>
      </c>
      <c r="AJ20" s="152">
        <v>-0.4043126684636118</v>
      </c>
    </row>
    <row r="21" spans="2:36" ht="24" customHeight="1">
      <c r="B21" s="47" t="s">
        <v>76</v>
      </c>
      <c r="C21" s="91">
        <v>6</v>
      </c>
      <c r="D21" s="91">
        <v>5</v>
      </c>
      <c r="E21" s="84">
        <v>6</v>
      </c>
      <c r="F21" s="84">
        <v>5</v>
      </c>
      <c r="G21" s="85">
        <v>5</v>
      </c>
      <c r="J21" s="43" t="s">
        <v>83</v>
      </c>
      <c r="K21" s="198" t="s">
        <v>101</v>
      </c>
      <c r="L21" s="45">
        <v>0</v>
      </c>
      <c r="M21" s="147">
        <v>-0.27462044874378611</v>
      </c>
      <c r="N21" s="147">
        <v>-0.29275829638586592</v>
      </c>
      <c r="O21" s="147">
        <v>-0.32513771328765295</v>
      </c>
      <c r="P21" s="147">
        <v>-0.24667472793228551</v>
      </c>
      <c r="Q21" s="147">
        <v>-0.43463657127502364</v>
      </c>
      <c r="R21" s="147">
        <v>-0.26024452505710072</v>
      </c>
      <c r="S21" s="147">
        <v>-0.12656187021362364</v>
      </c>
      <c r="T21" s="147">
        <v>9.9556630390971179E-2</v>
      </c>
      <c r="U21" s="147">
        <v>0.2645438667204083</v>
      </c>
      <c r="V21" s="147">
        <v>0.37619239553943284</v>
      </c>
      <c r="W21" s="147">
        <v>-1.2494961708988561E-2</v>
      </c>
      <c r="X21" s="147">
        <v>-0.30605938465672455</v>
      </c>
      <c r="Y21" s="147">
        <v>-0.36947467419051472</v>
      </c>
      <c r="Z21" s="147">
        <v>-0.25325809485422557</v>
      </c>
      <c r="AA21" s="147">
        <v>-0.26172242375386279</v>
      </c>
      <c r="AB21" s="147">
        <v>-0.30619373908370295</v>
      </c>
      <c r="AC21" s="147">
        <v>-0.15813516055354049</v>
      </c>
      <c r="AD21" s="147">
        <v>-0.18352814725245215</v>
      </c>
      <c r="AE21" s="147">
        <v>-0.16458417304850226</v>
      </c>
      <c r="AF21" s="147">
        <v>2.1093645035603403E-2</v>
      </c>
      <c r="AG21" s="147">
        <v>0.14564019884455148</v>
      </c>
      <c r="AH21" s="147">
        <v>0.19078328630928332</v>
      </c>
      <c r="AI21" s="147">
        <v>0.37243047158403808</v>
      </c>
      <c r="AJ21" s="152">
        <v>8.8808276232701377E-2</v>
      </c>
    </row>
    <row r="22" spans="2:36" ht="24" customHeight="1">
      <c r="B22" s="64" t="s">
        <v>74</v>
      </c>
      <c r="C22" s="92">
        <v>8</v>
      </c>
      <c r="D22" s="92">
        <v>6</v>
      </c>
      <c r="E22" s="92">
        <v>3</v>
      </c>
      <c r="F22" s="92">
        <v>3</v>
      </c>
      <c r="G22" s="93">
        <v>4</v>
      </c>
      <c r="J22" s="44" t="s">
        <v>84</v>
      </c>
      <c r="K22" s="197" t="s">
        <v>97</v>
      </c>
      <c r="L22" s="42">
        <v>0</v>
      </c>
      <c r="M22" s="147">
        <v>-9.5435684647302899E-2</v>
      </c>
      <c r="N22" s="147">
        <v>4.7717842323651283E-2</v>
      </c>
      <c r="O22" s="147">
        <v>-0.12240663900414939</v>
      </c>
      <c r="P22" s="147">
        <v>-7.8838174273858974E-2</v>
      </c>
      <c r="Q22" s="147">
        <v>0.10995850622406622</v>
      </c>
      <c r="R22" s="147">
        <v>2.0746887966804906E-2</v>
      </c>
      <c r="S22" s="147">
        <v>-0.12863070539419086</v>
      </c>
      <c r="T22" s="147">
        <v>-5.1867219917012375E-2</v>
      </c>
      <c r="U22" s="147">
        <v>-5.6016597510373467E-2</v>
      </c>
      <c r="V22" s="147">
        <v>1.0373443983402453E-2</v>
      </c>
      <c r="W22" s="147">
        <v>0.14937759336099576</v>
      </c>
      <c r="X22" s="147">
        <v>-8.2987551867219955E-2</v>
      </c>
      <c r="Y22" s="147">
        <v>-3.319502074688796E-2</v>
      </c>
      <c r="Z22" s="147">
        <v>0.13278008298755184</v>
      </c>
      <c r="AJ22" s="41"/>
    </row>
    <row r="23" spans="2:36" ht="24" customHeight="1" thickBot="1">
      <c r="B23" s="65" t="s">
        <v>73</v>
      </c>
      <c r="C23" s="94">
        <v>7</v>
      </c>
      <c r="D23" s="94">
        <v>3</v>
      </c>
      <c r="E23" s="94">
        <v>2</v>
      </c>
      <c r="F23" s="94">
        <v>2</v>
      </c>
      <c r="G23" s="95">
        <v>3</v>
      </c>
      <c r="J23" s="43" t="s">
        <v>84</v>
      </c>
      <c r="K23" s="197" t="s">
        <v>101</v>
      </c>
      <c r="L23" s="42">
        <v>0</v>
      </c>
      <c r="M23" s="147">
        <v>-9.1384317521781222E-2</v>
      </c>
      <c r="N23" s="147">
        <v>7.6089060987415413E-2</v>
      </c>
      <c r="O23" s="147">
        <v>6.3891577928364196E-2</v>
      </c>
      <c r="P23" s="147">
        <v>-1.9361084220703706E-4</v>
      </c>
      <c r="Q23" s="147">
        <v>0.21316553727008714</v>
      </c>
      <c r="R23" s="147">
        <v>0.17657308809293326</v>
      </c>
      <c r="S23" s="147">
        <v>0.20387221684414314</v>
      </c>
      <c r="T23" s="147">
        <v>0.4714424007744431</v>
      </c>
      <c r="U23" s="147">
        <v>0.65091965150048381</v>
      </c>
      <c r="V23" s="147">
        <v>0.71597289448209067</v>
      </c>
      <c r="W23" s="147">
        <v>0.97773475314617597</v>
      </c>
      <c r="X23" s="147">
        <v>0.56902226524685373</v>
      </c>
      <c r="Y23" s="147">
        <v>0.46447241045498533</v>
      </c>
      <c r="Z23" s="147">
        <v>0.77366892545982546</v>
      </c>
      <c r="AA23" s="153"/>
      <c r="AB23" s="153"/>
      <c r="AC23" s="153"/>
      <c r="AD23" s="153"/>
      <c r="AE23" s="153"/>
      <c r="AF23" s="153"/>
      <c r="AG23" s="153"/>
      <c r="AH23" s="153"/>
      <c r="AI23" s="153"/>
      <c r="AJ23" s="154"/>
    </row>
    <row r="24" spans="2:36" ht="24" customHeight="1" thickBot="1">
      <c r="J24" s="216" t="s">
        <v>58</v>
      </c>
      <c r="K24" s="217"/>
      <c r="L24" s="40">
        <v>0</v>
      </c>
      <c r="M24" s="39">
        <f>AVERAGE(M16:M23)</f>
        <v>-5.6685073165154518E-2</v>
      </c>
      <c r="N24" s="39">
        <f t="shared" ref="N24:AJ24" si="1">AVERAGE(N16:N23)</f>
        <v>-4.399021869722583E-2</v>
      </c>
      <c r="O24" s="39">
        <f t="shared" si="1"/>
        <v>-7.1891207463007326E-2</v>
      </c>
      <c r="P24" s="39">
        <f t="shared" si="1"/>
        <v>-5.7446726223665423E-2</v>
      </c>
      <c r="Q24" s="39">
        <f t="shared" si="1"/>
        <v>-0.11740040582722014</v>
      </c>
      <c r="R24" s="39">
        <f t="shared" si="1"/>
        <v>-0.13583294751602237</v>
      </c>
      <c r="S24" s="39">
        <f t="shared" si="1"/>
        <v>-0.13420306653480973</v>
      </c>
      <c r="T24" s="39">
        <f t="shared" si="1"/>
        <v>-3.5243329105814306E-2</v>
      </c>
      <c r="U24" s="39">
        <f t="shared" si="1"/>
        <v>4.7155920724440387E-2</v>
      </c>
      <c r="V24" s="39">
        <f t="shared" si="1"/>
        <v>0.10487920537898833</v>
      </c>
      <c r="W24" s="39">
        <f t="shared" si="1"/>
        <v>0.12052543650627012</v>
      </c>
      <c r="X24" s="39">
        <f t="shared" si="1"/>
        <v>-7.2342740027229846E-2</v>
      </c>
      <c r="Y24" s="39">
        <f t="shared" si="1"/>
        <v>-0.13899569637159775</v>
      </c>
      <c r="Z24" s="39">
        <f t="shared" si="1"/>
        <v>-3.5495997878446262E-2</v>
      </c>
      <c r="AA24" s="39">
        <f t="shared" si="1"/>
        <v>-0.13962380310286407</v>
      </c>
      <c r="AB24" s="39">
        <f t="shared" si="1"/>
        <v>-0.1467015040760683</v>
      </c>
      <c r="AC24" s="39">
        <f t="shared" si="1"/>
        <v>-0.14732621721199804</v>
      </c>
      <c r="AD24" s="39">
        <f t="shared" si="1"/>
        <v>-0.18489662945104354</v>
      </c>
      <c r="AE24" s="39">
        <f t="shared" si="1"/>
        <v>-0.22375855314656759</v>
      </c>
      <c r="AF24" s="39">
        <f t="shared" si="1"/>
        <v>-0.10323192914826312</v>
      </c>
      <c r="AG24" s="39">
        <f t="shared" si="1"/>
        <v>-3.253149768021444E-2</v>
      </c>
      <c r="AH24" s="39">
        <f t="shared" si="1"/>
        <v>-2.1109540049692527E-2</v>
      </c>
      <c r="AI24" s="39">
        <f t="shared" si="1"/>
        <v>-8.9352744703267525E-5</v>
      </c>
      <c r="AJ24" s="38">
        <f t="shared" si="1"/>
        <v>-6.7210785086314229E-2</v>
      </c>
    </row>
    <row r="25" spans="2:36" ht="22.05" customHeigh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1.05" hidden="1"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1.05" hidden="1" customHeight="1">
      <c r="J27" s="206" t="s">
        <v>91</v>
      </c>
      <c r="K27" s="207"/>
      <c r="L27" s="158">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52">
        <v>0.15979569178065556</v>
      </c>
    </row>
    <row r="28" spans="2:36" ht="30" hidden="1"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0.38842044041457058</v>
      </c>
      <c r="AF28" s="147">
        <v>0.46797880909447076</v>
      </c>
      <c r="AG28" s="147">
        <v>0.43129381818358792</v>
      </c>
      <c r="AH28" s="147">
        <v>0.46996211042729796</v>
      </c>
      <c r="AI28" s="147">
        <v>0.44902672224777396</v>
      </c>
      <c r="AJ28" s="152">
        <v>0.36564289381915693</v>
      </c>
    </row>
    <row r="29" spans="2:36" ht="1.05" hidden="1"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52">
        <v>0.24249812060483178</v>
      </c>
    </row>
    <row r="30" spans="2:36" ht="1.05" hidden="1"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1.05" hidden="1"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0.20531230398190772</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8" spans="10:36" ht="35.25" hidden="1" thickBot="1">
      <c r="J68" s="214" t="s">
        <v>131</v>
      </c>
      <c r="K68" s="21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hidden="1">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hidden="1">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hidden="1">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7.25" hidden="1"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7.25" hidden="1"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J24:K24"/>
    <mergeCell ref="F1:H1"/>
    <mergeCell ref="B2:D3"/>
    <mergeCell ref="J2:K2"/>
    <mergeCell ref="J11:K11"/>
    <mergeCell ref="J15:K15"/>
    <mergeCell ref="J73:K73"/>
    <mergeCell ref="J26:K26"/>
    <mergeCell ref="J27:K27"/>
    <mergeCell ref="J28:K28"/>
    <mergeCell ref="J29:K29"/>
    <mergeCell ref="J30:K30"/>
    <mergeCell ref="J31:K31"/>
    <mergeCell ref="J68:K68"/>
    <mergeCell ref="J69:K69"/>
    <mergeCell ref="J70:K70"/>
    <mergeCell ref="J71:K71"/>
    <mergeCell ref="J72:K72"/>
  </mergeCells>
  <phoneticPr fontId="13" type="noConversion"/>
  <conditionalFormatting sqref="C16:G23">
    <cfRule type="cellIs" dxfId="131" priority="6" operator="between">
      <formula>7</formula>
      <formula>8</formula>
    </cfRule>
    <cfRule type="cellIs" dxfId="130" priority="7" operator="between">
      <formula>1</formula>
      <formula>2</formula>
    </cfRule>
  </conditionalFormatting>
  <conditionalFormatting sqref="F3">
    <cfRule type="cellIs" dxfId="129" priority="2" operator="equal">
      <formula>"GOOD"</formula>
    </cfRule>
    <cfRule type="cellIs" dxfId="128" priority="4" operator="equal">
      <formula>"GOOD"</formula>
    </cfRule>
    <cfRule type="top10" dxfId="127" priority="5" percent="1" rank="10"/>
  </conditionalFormatting>
  <conditionalFormatting sqref="G3">
    <cfRule type="cellIs" dxfId="126" priority="1" operator="equal">
      <formula>"BAD"</formula>
    </cfRule>
    <cfRule type="cellIs" dxfId="125" priority="3" operator="equal">
      <formula>"BAD"</formula>
    </cfRule>
  </conditionalFormatting>
  <pageMargins left="0.7" right="0.7" top="0.75" bottom="0.75" header="0.3" footer="0.3"/>
  <pageSetup paperSize="9" orientation="portrait" horizontalDpi="360" verticalDpi="36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4F919-9DB3-7F43-B32A-382F6B907EB6}">
  <dimension ref="B1:AJ73"/>
  <sheetViews>
    <sheetView topLeftCell="K56" zoomScale="61" zoomScaleNormal="55" workbookViewId="0">
      <selection activeCell="B15" sqref="B15:G2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18"/>
      <c r="G1" s="219"/>
      <c r="H1" s="219"/>
    </row>
    <row r="2" spans="2:36" ht="24" customHeight="1" thickBot="1">
      <c r="B2" s="261" t="s">
        <v>109</v>
      </c>
      <c r="C2" s="262"/>
      <c r="D2" s="263"/>
      <c r="J2" s="226" t="s">
        <v>60</v>
      </c>
      <c r="K2" s="227"/>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64"/>
      <c r="C3" s="265"/>
      <c r="D3" s="266"/>
      <c r="F3" s="188" t="s">
        <v>130</v>
      </c>
      <c r="G3" s="189" t="s">
        <v>129</v>
      </c>
      <c r="J3" s="48" t="s">
        <v>81</v>
      </c>
      <c r="K3" s="190" t="s">
        <v>100</v>
      </c>
      <c r="L3" s="42">
        <v>0</v>
      </c>
      <c r="M3" s="147">
        <v>-6.2403033959662069E-2</v>
      </c>
      <c r="N3" s="147">
        <v>-0.16807446991897945</v>
      </c>
      <c r="O3" s="147">
        <v>-0.30960179279434574</v>
      </c>
      <c r="P3" s="147">
        <v>-0.23582141010170654</v>
      </c>
      <c r="Q3" s="147">
        <v>-0.24909498362351312</v>
      </c>
      <c r="R3" s="147">
        <v>-0.32511635924840543</v>
      </c>
      <c r="S3" s="147">
        <v>-0.23358041716945344</v>
      </c>
      <c r="T3" s="147">
        <v>-0.18220996379934495</v>
      </c>
      <c r="U3" s="147">
        <v>-0.25978279606964327</v>
      </c>
      <c r="V3" s="147">
        <v>-0.11498017583175313</v>
      </c>
      <c r="W3" s="147">
        <v>-0.17548698500258586</v>
      </c>
      <c r="X3" s="147">
        <v>-0.27667643509739703</v>
      </c>
      <c r="Y3" s="147">
        <v>-0.25081882434063096</v>
      </c>
      <c r="Z3" s="147">
        <v>-0.22547836579900027</v>
      </c>
      <c r="AA3" s="147">
        <v>-8.3261506636786886E-2</v>
      </c>
      <c r="AB3" s="147">
        <v>-0.1616962592656439</v>
      </c>
      <c r="AC3" s="147">
        <v>-0.27650405102568532</v>
      </c>
      <c r="AD3" s="147">
        <v>-0.36079986209274273</v>
      </c>
      <c r="AE3" s="147">
        <v>-0.45474918117565943</v>
      </c>
      <c r="AF3" s="147">
        <v>-0.34821582485778313</v>
      </c>
      <c r="AG3" s="147">
        <v>-0.32649543182209972</v>
      </c>
      <c r="AH3" s="147">
        <v>-0.38234787105671453</v>
      </c>
      <c r="AI3" s="147">
        <v>-0.35545595586967771</v>
      </c>
      <c r="AJ3" s="152">
        <v>-0.25892087571108435</v>
      </c>
    </row>
    <row r="4" spans="2:36" ht="24" customHeight="1" thickBot="1">
      <c r="J4" s="43" t="s">
        <v>81</v>
      </c>
      <c r="K4" s="191" t="s">
        <v>101</v>
      </c>
      <c r="L4" s="45">
        <v>0</v>
      </c>
      <c r="M4" s="147">
        <v>-4.4342507645259932E-2</v>
      </c>
      <c r="N4" s="147">
        <v>-7.9701834862385357E-2</v>
      </c>
      <c r="O4" s="147">
        <v>-0.30358053007135566</v>
      </c>
      <c r="P4" s="147">
        <v>-0.28994648318042804</v>
      </c>
      <c r="Q4" s="147">
        <v>-0.40577217125382259</v>
      </c>
      <c r="R4" s="147">
        <v>-0.55058613659531086</v>
      </c>
      <c r="S4" s="147">
        <v>-0.53784403669724756</v>
      </c>
      <c r="T4" s="147">
        <v>-0.4912716615698266</v>
      </c>
      <c r="U4" s="147">
        <v>-0.58135830784913356</v>
      </c>
      <c r="V4" s="147">
        <v>-0.47024719673802229</v>
      </c>
      <c r="W4" s="147">
        <v>-0.36850152905198763</v>
      </c>
      <c r="X4" s="147">
        <v>-0.43361365953109066</v>
      </c>
      <c r="Y4" s="147">
        <v>-0.36015545361875634</v>
      </c>
      <c r="Z4" s="147">
        <v>-0.39965596330275222</v>
      </c>
      <c r="AA4" s="147">
        <v>-0.22241335372069315</v>
      </c>
      <c r="AB4" s="147">
        <v>-0.2382772680937818</v>
      </c>
      <c r="AC4" s="147">
        <v>-0.45291794087665638</v>
      </c>
      <c r="AD4" s="147">
        <v>-0.52395514780835883</v>
      </c>
      <c r="AE4" s="147">
        <v>-0.58741080530071343</v>
      </c>
      <c r="AF4" s="147">
        <v>-0.57581549439347612</v>
      </c>
      <c r="AG4" s="147">
        <v>-0.48318042813455653</v>
      </c>
      <c r="AH4" s="147">
        <v>-0.50949286442405706</v>
      </c>
      <c r="AI4" s="147">
        <v>-0.54466106014271154</v>
      </c>
      <c r="AJ4" s="152">
        <v>-0.52580275229357787</v>
      </c>
    </row>
    <row r="5" spans="2:36" ht="24" customHeight="1">
      <c r="B5" s="51"/>
      <c r="C5" s="50">
        <v>2021</v>
      </c>
      <c r="D5" s="50">
        <v>2022</v>
      </c>
      <c r="E5" s="50">
        <v>2023</v>
      </c>
      <c r="F5" s="50">
        <v>2024</v>
      </c>
      <c r="G5" s="49">
        <v>2025</v>
      </c>
      <c r="J5" s="44" t="s">
        <v>82</v>
      </c>
      <c r="K5" s="192" t="s">
        <v>102</v>
      </c>
      <c r="L5" s="46">
        <v>0</v>
      </c>
      <c r="M5" s="147">
        <v>-1.7460787215152318E-2</v>
      </c>
      <c r="N5" s="147">
        <v>4.0248594258656345E-2</v>
      </c>
      <c r="O5" s="147">
        <v>0.36134951168984908</v>
      </c>
      <c r="P5" s="147">
        <v>0.32465226398342706</v>
      </c>
      <c r="Q5" s="147">
        <v>0.23054158034921568</v>
      </c>
      <c r="R5" s="147">
        <v>6.1852619118082375E-2</v>
      </c>
      <c r="S5" s="147">
        <v>-0.10328499556081672</v>
      </c>
      <c r="T5" s="147">
        <v>6.2740455756140845E-2</v>
      </c>
      <c r="U5" s="147">
        <v>0.15773897602841069</v>
      </c>
      <c r="V5" s="147">
        <v>0.12636874815034038</v>
      </c>
      <c r="W5" s="147">
        <v>0.21633619414027816</v>
      </c>
      <c r="X5" s="147">
        <v>0.38088191772713809</v>
      </c>
      <c r="Y5" s="147">
        <v>0.44421426457531821</v>
      </c>
      <c r="Z5" s="147">
        <v>0.47173720035513478</v>
      </c>
      <c r="AA5" s="147">
        <v>0.3711157147084938</v>
      </c>
      <c r="AB5" s="147">
        <v>0.24326723882805568</v>
      </c>
      <c r="AC5" s="147">
        <v>0.23231725362533306</v>
      </c>
      <c r="AD5" s="147">
        <v>0.47292098253921311</v>
      </c>
      <c r="AE5" s="147">
        <v>0.65936667653151848</v>
      </c>
      <c r="AF5" s="147">
        <v>0.85646641018052705</v>
      </c>
      <c r="AG5" s="147">
        <v>0.75969221663214026</v>
      </c>
      <c r="AH5" s="147">
        <v>0.95679195028114905</v>
      </c>
      <c r="AI5" s="147">
        <v>0.74874223142941765</v>
      </c>
      <c r="AJ5" s="152">
        <v>0.27138206569991175</v>
      </c>
    </row>
    <row r="6" spans="2:36" ht="24" customHeight="1">
      <c r="B6" s="47" t="s">
        <v>69</v>
      </c>
      <c r="C6" s="138">
        <v>-0.64494518879415397</v>
      </c>
      <c r="D6" s="139">
        <v>0.81906218144750254</v>
      </c>
      <c r="E6" s="139">
        <v>1.4144522144522145</v>
      </c>
      <c r="F6" s="139">
        <v>1.3516028955532575</v>
      </c>
      <c r="G6" s="140">
        <v>0.8548951048951049</v>
      </c>
      <c r="H6" s="1"/>
      <c r="J6" s="43" t="s">
        <v>82</v>
      </c>
      <c r="K6" s="191" t="s">
        <v>99</v>
      </c>
      <c r="L6" s="45">
        <v>0</v>
      </c>
      <c r="M6" s="147">
        <v>-7.5254237288135517E-2</v>
      </c>
      <c r="N6" s="147">
        <v>2.0338983050847137E-3</v>
      </c>
      <c r="O6" s="147">
        <v>0.21627118644067811</v>
      </c>
      <c r="P6" s="147">
        <v>0.13559322033898313</v>
      </c>
      <c r="Q6" s="147">
        <v>-1.3559322033896981E-3</v>
      </c>
      <c r="R6" s="147">
        <v>-0.13152542372881337</v>
      </c>
      <c r="S6" s="147">
        <v>-0.24406779661016931</v>
      </c>
      <c r="T6" s="147">
        <v>-0.15728813559322019</v>
      </c>
      <c r="U6" s="147">
        <v>-6.847457627118636E-2</v>
      </c>
      <c r="V6" s="147">
        <v>-3.5254237288135482E-2</v>
      </c>
      <c r="W6" s="147">
        <v>6.3050847457627235E-2</v>
      </c>
      <c r="X6" s="147">
        <v>4.067796610169494E-2</v>
      </c>
      <c r="Y6" s="147">
        <v>-8.4067796610169498E-2</v>
      </c>
      <c r="Z6" s="147">
        <v>-0.22033898305084754</v>
      </c>
      <c r="AA6" s="147">
        <v>-0.23186440677966114</v>
      </c>
      <c r="AB6" s="147">
        <v>-0.27864406779661022</v>
      </c>
      <c r="AC6" s="147">
        <v>-0.28000000000000014</v>
      </c>
      <c r="AD6" s="147">
        <v>-0.23796610169491528</v>
      </c>
      <c r="AE6" s="147">
        <v>-9.152542372881356E-2</v>
      </c>
      <c r="AF6" s="147">
        <v>-1.5593220338983027E-2</v>
      </c>
      <c r="AG6" s="147">
        <v>0.18169491525423731</v>
      </c>
      <c r="AH6" s="147">
        <v>0.14711864406779673</v>
      </c>
      <c r="AI6" s="147">
        <v>-2.7118644067796627E-2</v>
      </c>
      <c r="AJ6" s="152">
        <v>-0.28474576271186436</v>
      </c>
    </row>
    <row r="7" spans="2:36" ht="24" customHeight="1">
      <c r="B7" s="47" t="s">
        <v>70</v>
      </c>
      <c r="C7" s="141">
        <v>3.6852248394004281</v>
      </c>
      <c r="D7" s="142">
        <v>2.9911764705882353</v>
      </c>
      <c r="E7" s="142">
        <v>0.86486486486486491</v>
      </c>
      <c r="F7" s="142">
        <v>1.3</v>
      </c>
      <c r="G7" s="143">
        <v>2.56</v>
      </c>
      <c r="H7" s="1"/>
      <c r="J7" s="44" t="s">
        <v>83</v>
      </c>
      <c r="K7" s="192" t="s">
        <v>102</v>
      </c>
      <c r="L7" s="46">
        <v>0</v>
      </c>
      <c r="M7" s="147">
        <v>4.5863694813544909E-2</v>
      </c>
      <c r="N7" s="147">
        <v>6.5795113587655552E-2</v>
      </c>
      <c r="O7" s="147">
        <v>-7.0724389198455473E-3</v>
      </c>
      <c r="P7" s="147">
        <v>-9.9657093870552882E-2</v>
      </c>
      <c r="Q7" s="147">
        <v>-0.10758679811401617</v>
      </c>
      <c r="R7" s="147">
        <v>6.6652378911273402E-2</v>
      </c>
      <c r="S7" s="147">
        <v>0.2016716673810548</v>
      </c>
      <c r="T7" s="147">
        <v>0.34440634376339507</v>
      </c>
      <c r="U7" s="147">
        <v>0.2743249035576516</v>
      </c>
      <c r="V7" s="147">
        <v>0.4170595799399921</v>
      </c>
      <c r="W7" s="147">
        <v>0.26639519931418842</v>
      </c>
      <c r="X7" s="147">
        <v>-7.9297042434632981E-2</v>
      </c>
      <c r="Y7" s="147">
        <v>-0.12087441063008952</v>
      </c>
      <c r="Z7" s="147">
        <v>2.1860265752250863E-2</v>
      </c>
      <c r="AA7" s="147">
        <v>4.1577368195456987E-2</v>
      </c>
      <c r="AB7" s="147">
        <v>0.12687526789541415</v>
      </c>
      <c r="AC7" s="147">
        <v>0.31290184312044644</v>
      </c>
      <c r="AD7" s="147">
        <v>0.20595799399914339</v>
      </c>
      <c r="AE7" s="147">
        <v>0.21945992284612137</v>
      </c>
      <c r="AF7" s="147">
        <v>0.36648092584655001</v>
      </c>
      <c r="AG7" s="147">
        <v>0.47942563223317691</v>
      </c>
      <c r="AH7" s="147">
        <v>0.40462923274753626</v>
      </c>
      <c r="AI7" s="147">
        <v>0.40055722246035197</v>
      </c>
      <c r="AJ7" s="152">
        <v>0.42091727389627143</v>
      </c>
    </row>
    <row r="8" spans="2:36" ht="24" customHeight="1">
      <c r="B8" s="47" t="s">
        <v>71</v>
      </c>
      <c r="C8" s="141">
        <v>-2.1428571428571428</v>
      </c>
      <c r="D8" s="142">
        <v>-2.1428571428571428</v>
      </c>
      <c r="E8" s="142">
        <v>-0.10344827586206896</v>
      </c>
      <c r="F8" s="142">
        <v>1.6111111111111112</v>
      </c>
      <c r="G8" s="143">
        <v>-3.2391304347826089</v>
      </c>
      <c r="J8" s="43" t="s">
        <v>83</v>
      </c>
      <c r="K8" s="191" t="s">
        <v>100</v>
      </c>
      <c r="L8" s="45">
        <v>0</v>
      </c>
      <c r="M8" s="147">
        <v>6.9783670621070826E-4</v>
      </c>
      <c r="N8" s="147">
        <v>-2.2563386834147492E-2</v>
      </c>
      <c r="O8" s="147">
        <v>-6.0246568969527847E-2</v>
      </c>
      <c r="P8" s="147">
        <v>-0.1270062805303559</v>
      </c>
      <c r="Q8" s="147">
        <v>-0.16003721795766457</v>
      </c>
      <c r="R8" s="147">
        <v>5.1639916259595298E-2</v>
      </c>
      <c r="S8" s="147">
        <v>0.11444521981856237</v>
      </c>
      <c r="T8" s="147">
        <v>0.22354035822284257</v>
      </c>
      <c r="U8" s="147">
        <v>0.50616422423819496</v>
      </c>
      <c r="V8" s="147">
        <v>0.70388462433123977</v>
      </c>
      <c r="W8" s="147">
        <v>0.68132123749709228</v>
      </c>
      <c r="X8" s="147">
        <v>0.14491742265643159</v>
      </c>
      <c r="Y8" s="147">
        <v>2.9774366131658514E-2</v>
      </c>
      <c r="Z8" s="147">
        <v>0.18469411491044418</v>
      </c>
      <c r="AA8" s="147">
        <v>0.15096534077692469</v>
      </c>
      <c r="AB8" s="147">
        <v>0.23191439869737152</v>
      </c>
      <c r="AC8" s="147">
        <v>0.46033961386368927</v>
      </c>
      <c r="AD8" s="147">
        <v>0.15794370783903244</v>
      </c>
      <c r="AE8" s="147">
        <v>-2.9309141660851412E-2</v>
      </c>
      <c r="AF8" s="147">
        <v>-3.0239590602464395E-3</v>
      </c>
      <c r="AG8" s="147">
        <v>0.17003954408001865</v>
      </c>
      <c r="AH8" s="147">
        <v>0.18236799255640834</v>
      </c>
      <c r="AI8" s="147">
        <v>0.20027913468248437</v>
      </c>
      <c r="AJ8" s="152">
        <v>-0.14445219818562449</v>
      </c>
    </row>
    <row r="9" spans="2:36" ht="24" customHeight="1">
      <c r="B9" s="47" t="s">
        <v>72</v>
      </c>
      <c r="C9" s="141">
        <v>3.8419692145924</v>
      </c>
      <c r="D9" s="142">
        <v>0.79202495873339618</v>
      </c>
      <c r="E9" s="142">
        <v>1.4425665530792631</v>
      </c>
      <c r="F9" s="142">
        <v>-1.5339516629059786</v>
      </c>
      <c r="G9" s="143">
        <v>0.24739241854428062</v>
      </c>
      <c r="J9" s="44" t="s">
        <v>84</v>
      </c>
      <c r="K9" s="190" t="s">
        <v>102</v>
      </c>
      <c r="L9" s="42">
        <v>0</v>
      </c>
      <c r="M9" s="147">
        <v>-4.5158286778398504E-2</v>
      </c>
      <c r="N9" s="147">
        <v>0.10986964618249528</v>
      </c>
      <c r="O9" s="147">
        <v>0.13128491620111715</v>
      </c>
      <c r="P9" s="147">
        <v>0.22392923649906882</v>
      </c>
      <c r="Q9" s="147">
        <v>0.42597765363128492</v>
      </c>
      <c r="R9" s="147">
        <v>0.30982309124767227</v>
      </c>
      <c r="S9" s="147">
        <v>0.32448789571694592</v>
      </c>
      <c r="T9" s="147">
        <v>0.48417132216014891</v>
      </c>
      <c r="U9" s="147">
        <v>0.60684357541899447</v>
      </c>
      <c r="V9" s="147">
        <v>0.52560521415270034</v>
      </c>
      <c r="W9" s="147">
        <v>0.52118249534450634</v>
      </c>
      <c r="X9" s="147">
        <v>0.54329608938547458</v>
      </c>
      <c r="Y9" s="147">
        <v>0.57844506517690863</v>
      </c>
      <c r="Z9" s="147">
        <v>0.89897579143389184</v>
      </c>
      <c r="AJ9" s="41"/>
    </row>
    <row r="10" spans="2:36" ht="24" customHeight="1" thickBot="1">
      <c r="B10" s="63" t="s">
        <v>75</v>
      </c>
      <c r="C10" s="141">
        <v>-0.41666666666666702</v>
      </c>
      <c r="D10" s="142">
        <v>-1.7951807228915699</v>
      </c>
      <c r="E10" s="142">
        <v>-1.0952380952381</v>
      </c>
      <c r="F10" s="142">
        <v>-1.8739726027397301</v>
      </c>
      <c r="G10" s="143">
        <v>-0.62585034013605401</v>
      </c>
      <c r="J10" s="43" t="s">
        <v>84</v>
      </c>
      <c r="K10" s="190" t="s">
        <v>100</v>
      </c>
      <c r="L10" s="42">
        <v>0</v>
      </c>
      <c r="M10" s="147">
        <v>-0.10056887444128393</v>
      </c>
      <c r="N10" s="147">
        <v>3.474197480698904E-2</v>
      </c>
      <c r="O10" s="147">
        <v>5.2824055262088443E-3</v>
      </c>
      <c r="P10" s="147">
        <v>7.5985371800081358E-2</v>
      </c>
      <c r="Q10" s="147">
        <v>0.27549776513612367</v>
      </c>
      <c r="R10" s="147">
        <v>1.1377488825680793E-2</v>
      </c>
      <c r="S10" s="147">
        <v>-0.15217391304347827</v>
      </c>
      <c r="T10" s="147">
        <v>-0.12921576594880113</v>
      </c>
      <c r="U10" s="147">
        <v>2.1942299878098481E-2</v>
      </c>
      <c r="V10" s="147">
        <v>3.2710280373831946E-2</v>
      </c>
      <c r="W10" s="147">
        <v>4.8354327509142925E-2</v>
      </c>
      <c r="X10" s="147">
        <v>-0.25274278748476209</v>
      </c>
      <c r="Y10" s="147">
        <v>-0.20540430719219804</v>
      </c>
      <c r="Z10" s="147">
        <v>-6.5014221861031785E-2</v>
      </c>
      <c r="AA10" s="153"/>
      <c r="AB10" s="153"/>
      <c r="AC10" s="153"/>
      <c r="AD10" s="153"/>
      <c r="AE10" s="153"/>
      <c r="AF10" s="153"/>
      <c r="AG10" s="153"/>
      <c r="AH10" s="153"/>
      <c r="AI10" s="153"/>
      <c r="AJ10" s="154"/>
    </row>
    <row r="11" spans="2:36" ht="24" customHeight="1" thickBot="1">
      <c r="B11" s="47" t="s">
        <v>76</v>
      </c>
      <c r="C11" s="141">
        <v>5.3515625</v>
      </c>
      <c r="D11" s="142">
        <v>0.64814814814814803</v>
      </c>
      <c r="E11" s="142">
        <v>3.25619834710744</v>
      </c>
      <c r="F11" s="142">
        <v>3.3333333333333299</v>
      </c>
      <c r="G11" s="143">
        <v>1.1139705882352899</v>
      </c>
      <c r="J11" s="216" t="s">
        <v>58</v>
      </c>
      <c r="K11" s="217"/>
      <c r="L11" s="40">
        <v>0</v>
      </c>
      <c r="M11" s="39">
        <f t="shared" ref="M11:AJ11" si="0">AVERAGE(M3:M10)</f>
        <v>-3.7328274476017081E-2</v>
      </c>
      <c r="N11" s="39">
        <f t="shared" si="0"/>
        <v>-2.2063080593289208E-3</v>
      </c>
      <c r="O11" s="39">
        <f t="shared" si="0"/>
        <v>4.2108361378472986E-3</v>
      </c>
      <c r="P11" s="39">
        <f t="shared" si="0"/>
        <v>9.6610311731462617E-4</v>
      </c>
      <c r="Q11" s="39">
        <f t="shared" si="0"/>
        <v>1.0212369955272665E-3</v>
      </c>
      <c r="R11" s="39">
        <f t="shared" si="0"/>
        <v>-6.3235303151278191E-2</v>
      </c>
      <c r="S11" s="39">
        <f t="shared" si="0"/>
        <v>-7.8793297020575276E-2</v>
      </c>
      <c r="T11" s="39">
        <f t="shared" si="0"/>
        <v>1.9359119123916815E-2</v>
      </c>
      <c r="U11" s="39">
        <f t="shared" si="0"/>
        <v>8.2174787366423377E-2</v>
      </c>
      <c r="V11" s="39">
        <f t="shared" si="0"/>
        <v>0.1481433546362742</v>
      </c>
      <c r="W11" s="39">
        <f t="shared" si="0"/>
        <v>0.15658147340103273</v>
      </c>
      <c r="X11" s="39">
        <f t="shared" si="0"/>
        <v>8.4304339153570551E-3</v>
      </c>
      <c r="Y11" s="39">
        <f t="shared" si="0"/>
        <v>3.8891129365051236E-3</v>
      </c>
      <c r="Z11" s="39">
        <f t="shared" si="0"/>
        <v>8.3347479804761232E-2</v>
      </c>
      <c r="AA11" s="39">
        <f t="shared" si="0"/>
        <v>4.3531927572890523E-3</v>
      </c>
      <c r="AB11" s="39">
        <f t="shared" si="0"/>
        <v>-1.2760114955865764E-2</v>
      </c>
      <c r="AC11" s="39">
        <f t="shared" si="0"/>
        <v>-6.4388021547884255E-4</v>
      </c>
      <c r="AD11" s="39">
        <f t="shared" si="0"/>
        <v>-4.7649737869771315E-2</v>
      </c>
      <c r="AE11" s="39">
        <f t="shared" si="0"/>
        <v>-4.7361325414733001E-2</v>
      </c>
      <c r="AF11" s="39">
        <f t="shared" si="0"/>
        <v>4.6716472896098059E-2</v>
      </c>
      <c r="AG11" s="39">
        <f t="shared" si="0"/>
        <v>0.1301960747071528</v>
      </c>
      <c r="AH11" s="39">
        <f t="shared" si="0"/>
        <v>0.13317784736201979</v>
      </c>
      <c r="AI11" s="39">
        <f t="shared" si="0"/>
        <v>7.0390488082011357E-2</v>
      </c>
      <c r="AJ11" s="38">
        <f t="shared" si="0"/>
        <v>-8.6937041550994645E-2</v>
      </c>
    </row>
    <row r="12" spans="2:36" ht="24" customHeight="1">
      <c r="B12" s="64" t="s">
        <v>74</v>
      </c>
      <c r="C12" s="141">
        <v>1.1382015691007845</v>
      </c>
      <c r="D12" s="142">
        <v>1.3143982002249719</v>
      </c>
      <c r="E12" s="142">
        <v>2.1528629856850716</v>
      </c>
      <c r="F12" s="142">
        <v>3.1282995702885206</v>
      </c>
      <c r="G12" s="143">
        <v>3.4326292789512016</v>
      </c>
    </row>
    <row r="13" spans="2:36" ht="24" customHeight="1" thickBot="1">
      <c r="B13" s="65" t="s">
        <v>73</v>
      </c>
      <c r="C13" s="144">
        <v>1.4745895230648944</v>
      </c>
      <c r="D13" s="145">
        <v>3.5578231292517009</v>
      </c>
      <c r="E13" s="145">
        <v>6.6199040767386093</v>
      </c>
      <c r="F13" s="145">
        <v>8.025435073627845</v>
      </c>
      <c r="G13" s="146">
        <v>8.5743740795287184</v>
      </c>
    </row>
    <row r="14" spans="2:36" ht="24" customHeight="1" thickBot="1"/>
    <row r="15" spans="2:36" ht="24" customHeight="1" thickBot="1">
      <c r="B15" s="51"/>
      <c r="C15" s="50">
        <v>2021</v>
      </c>
      <c r="D15" s="50">
        <v>2022</v>
      </c>
      <c r="E15" s="50">
        <v>2023</v>
      </c>
      <c r="F15" s="50">
        <v>2024</v>
      </c>
      <c r="G15" s="49">
        <v>2025</v>
      </c>
      <c r="J15" s="228" t="s">
        <v>59</v>
      </c>
      <c r="K15" s="229"/>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7</v>
      </c>
      <c r="D16" s="84">
        <v>4</v>
      </c>
      <c r="E16" s="84">
        <v>5</v>
      </c>
      <c r="F16" s="84">
        <v>5</v>
      </c>
      <c r="G16" s="85">
        <v>5</v>
      </c>
      <c r="J16" s="48" t="s">
        <v>81</v>
      </c>
      <c r="K16" s="197" t="s">
        <v>104</v>
      </c>
      <c r="L16" s="42">
        <v>0</v>
      </c>
      <c r="M16" s="147">
        <v>2.8493150684931523E-2</v>
      </c>
      <c r="N16" s="147">
        <v>-2.082191780821907E-2</v>
      </c>
      <c r="O16" s="147">
        <v>-0.30520547945205467</v>
      </c>
      <c r="P16" s="147">
        <v>-0.24876712328767103</v>
      </c>
      <c r="Q16" s="147">
        <v>-0.28821917808219166</v>
      </c>
      <c r="R16" s="147">
        <v>-0.34027397260273973</v>
      </c>
      <c r="S16" s="147">
        <v>-0.22301369863013698</v>
      </c>
      <c r="T16" s="147">
        <v>-0.20931506849315062</v>
      </c>
      <c r="U16" s="147">
        <v>-0.30301369863013694</v>
      </c>
      <c r="V16" s="147">
        <v>-0.11561643835616431</v>
      </c>
      <c r="W16" s="147">
        <v>-0.12438356164383557</v>
      </c>
      <c r="X16" s="147">
        <v>-0.19178082191780821</v>
      </c>
      <c r="Y16" s="147">
        <v>-0.25260273972602731</v>
      </c>
      <c r="Z16" s="147">
        <v>-0.19013698630136988</v>
      </c>
      <c r="AA16" s="147">
        <v>-1.69863013698629E-2</v>
      </c>
      <c r="AB16" s="147">
        <v>-8.2191780821917693E-2</v>
      </c>
      <c r="AC16" s="147">
        <v>-0.19287671232876702</v>
      </c>
      <c r="AD16" s="147">
        <v>-0.29808219178082185</v>
      </c>
      <c r="AE16" s="147">
        <v>-0.38904109589041092</v>
      </c>
      <c r="AF16" s="147">
        <v>-0.31890410958904114</v>
      </c>
      <c r="AG16" s="147">
        <v>-0.24712328767123293</v>
      </c>
      <c r="AH16" s="147">
        <v>-0.22027397260273973</v>
      </c>
      <c r="AI16" s="147">
        <v>-0.14082191780821918</v>
      </c>
      <c r="AJ16" s="152">
        <v>-0.15890410958904111</v>
      </c>
    </row>
    <row r="17" spans="2:36" ht="24" customHeight="1">
      <c r="B17" s="47" t="s">
        <v>70</v>
      </c>
      <c r="C17" s="84">
        <v>3</v>
      </c>
      <c r="D17" s="84">
        <v>2</v>
      </c>
      <c r="E17" s="84">
        <v>6</v>
      </c>
      <c r="F17" s="84">
        <v>6</v>
      </c>
      <c r="G17" s="85">
        <v>3</v>
      </c>
      <c r="J17" s="43" t="s">
        <v>81</v>
      </c>
      <c r="K17" s="198" t="s">
        <v>98</v>
      </c>
      <c r="L17" s="45">
        <v>0</v>
      </c>
      <c r="M17" s="147">
        <v>-6.3548102383053862E-2</v>
      </c>
      <c r="N17" s="147">
        <v>-5.1191526919682206E-2</v>
      </c>
      <c r="O17" s="147">
        <v>-0.17299205648720217</v>
      </c>
      <c r="P17" s="147">
        <v>0.27802294792586069</v>
      </c>
      <c r="Q17" s="147">
        <v>0.13857016769638153</v>
      </c>
      <c r="R17" s="147">
        <v>-0.14386584289496906</v>
      </c>
      <c r="S17" s="147">
        <v>0.15710503089143879</v>
      </c>
      <c r="T17" s="147">
        <v>0.15092674315975296</v>
      </c>
      <c r="U17" s="147">
        <v>-9.3556928508384707E-2</v>
      </c>
      <c r="V17" s="147">
        <v>0.1103265666372466</v>
      </c>
      <c r="W17" s="147">
        <v>3.7952338923213036E-2</v>
      </c>
      <c r="X17" s="147">
        <v>-0.13150926743159719</v>
      </c>
      <c r="Y17" s="147">
        <v>-0.1624007060900261</v>
      </c>
      <c r="Z17" s="147">
        <v>-0.27360988526037033</v>
      </c>
      <c r="AA17" s="147">
        <v>-0.14651368049426261</v>
      </c>
      <c r="AB17" s="147">
        <v>-0.17917034421888745</v>
      </c>
      <c r="AC17" s="147">
        <v>-0.44571932921447455</v>
      </c>
      <c r="AD17" s="147">
        <v>-0.57281553398058227</v>
      </c>
      <c r="AE17" s="147">
        <v>-0.70079435127978806</v>
      </c>
      <c r="AF17" s="147">
        <v>-0.6548984995586935</v>
      </c>
      <c r="AG17" s="147">
        <v>-0.51809355692850811</v>
      </c>
      <c r="AH17" s="147">
        <v>-0.57016769638128828</v>
      </c>
      <c r="AI17" s="147">
        <v>-0.38746690203000833</v>
      </c>
      <c r="AJ17" s="152">
        <v>-0.28420123565754574</v>
      </c>
    </row>
    <row r="18" spans="2:36" ht="24" customHeight="1">
      <c r="B18" s="47" t="s">
        <v>71</v>
      </c>
      <c r="C18" s="86">
        <v>8</v>
      </c>
      <c r="D18" s="86">
        <v>8</v>
      </c>
      <c r="E18" s="86">
        <v>7</v>
      </c>
      <c r="F18" s="86">
        <v>4</v>
      </c>
      <c r="G18" s="87">
        <v>8</v>
      </c>
      <c r="J18" s="44" t="s">
        <v>82</v>
      </c>
      <c r="K18" s="199" t="s">
        <v>97</v>
      </c>
      <c r="L18" s="46">
        <v>0</v>
      </c>
      <c r="M18" s="147">
        <v>-1.9230769230769273E-2</v>
      </c>
      <c r="N18" s="147">
        <v>-6.1813186813186816E-2</v>
      </c>
      <c r="O18" s="147">
        <v>0.21703296703296693</v>
      </c>
      <c r="P18" s="147">
        <v>6.7307692307692291E-2</v>
      </c>
      <c r="Q18" s="147">
        <v>-0.1868131868131867</v>
      </c>
      <c r="R18" s="147">
        <v>-0.36813186813186805</v>
      </c>
      <c r="S18" s="147">
        <v>-0.48351648351648346</v>
      </c>
      <c r="T18" s="147">
        <v>-0.39285714285714279</v>
      </c>
      <c r="U18" s="147">
        <v>-0.23763736263736257</v>
      </c>
      <c r="V18" s="147">
        <v>-0.27060439560439553</v>
      </c>
      <c r="W18" s="147">
        <v>-0.10989010989010972</v>
      </c>
      <c r="X18" s="147">
        <v>1.9230769230769384E-2</v>
      </c>
      <c r="Y18" s="147">
        <v>-0.21978021978021967</v>
      </c>
      <c r="Z18" s="147">
        <v>-0.23214285714285698</v>
      </c>
      <c r="AA18" s="147">
        <v>-0.16346153846153832</v>
      </c>
      <c r="AB18" s="147">
        <v>-0.11950549450549419</v>
      </c>
      <c r="AC18" s="147">
        <v>-0.30219780219780201</v>
      </c>
      <c r="AD18" s="147">
        <v>-9.8901098901098661E-2</v>
      </c>
      <c r="AE18" s="147">
        <v>-0.21703296703296671</v>
      </c>
      <c r="AF18" s="147">
        <v>-0.17994505494505464</v>
      </c>
      <c r="AG18" s="147">
        <v>7.9670329670330275E-2</v>
      </c>
      <c r="AH18" s="147">
        <v>-9.6153846153845701E-2</v>
      </c>
      <c r="AI18" s="147">
        <v>-0.10439560439560402</v>
      </c>
      <c r="AJ18" s="152">
        <v>-0.3379120879120876</v>
      </c>
    </row>
    <row r="19" spans="2:36" ht="24" customHeight="1">
      <c r="B19" s="47" t="s">
        <v>72</v>
      </c>
      <c r="C19" s="86">
        <v>2</v>
      </c>
      <c r="D19" s="86">
        <v>5</v>
      </c>
      <c r="E19" s="86">
        <v>4</v>
      </c>
      <c r="F19" s="86">
        <v>7</v>
      </c>
      <c r="G19" s="87">
        <v>6</v>
      </c>
      <c r="J19" s="43" t="s">
        <v>82</v>
      </c>
      <c r="K19" s="198" t="s">
        <v>98</v>
      </c>
      <c r="L19" s="45">
        <v>0</v>
      </c>
      <c r="M19" s="147">
        <v>-3.5569105691056868E-2</v>
      </c>
      <c r="N19" s="147">
        <v>-0.16361788617886164</v>
      </c>
      <c r="O19" s="147">
        <v>-1.7276422764227584E-2</v>
      </c>
      <c r="P19" s="147">
        <v>-5.4878048780487743E-2</v>
      </c>
      <c r="Q19" s="147">
        <v>-0.36178861788617878</v>
      </c>
      <c r="R19" s="147">
        <v>-0.50813008130081294</v>
      </c>
      <c r="S19" s="147">
        <v>-0.65548780487804881</v>
      </c>
      <c r="T19" s="147">
        <v>-0.60264227642276413</v>
      </c>
      <c r="U19" s="147">
        <v>-0.44512195121951215</v>
      </c>
      <c r="V19" s="147">
        <v>-0.50508130081300806</v>
      </c>
      <c r="W19" s="147">
        <v>-0.2947154471544714</v>
      </c>
      <c r="X19" s="147">
        <v>-0.17581300813008116</v>
      </c>
      <c r="Y19" s="147">
        <v>-0.38617886178861771</v>
      </c>
      <c r="Z19" s="147">
        <v>-0.44410569105691045</v>
      </c>
      <c r="AA19" s="147">
        <v>-0.4989837398373983</v>
      </c>
      <c r="AB19" s="147">
        <v>-0.59949186991869907</v>
      </c>
      <c r="AC19" s="147">
        <v>-0.63109756097560976</v>
      </c>
      <c r="AD19" s="147">
        <v>-0.45630081300813008</v>
      </c>
      <c r="AE19" s="147">
        <v>-0.38211382113821135</v>
      </c>
      <c r="AF19" s="147">
        <v>-0.40752032520325199</v>
      </c>
      <c r="AG19" s="147">
        <v>-0.27743902439024382</v>
      </c>
      <c r="AH19" s="147">
        <v>-0.14329268292682917</v>
      </c>
      <c r="AI19" s="147">
        <v>-0.26829268292682917</v>
      </c>
      <c r="AJ19" s="152">
        <v>-0.55894308943089421</v>
      </c>
    </row>
    <row r="20" spans="2:36" ht="24" customHeight="1">
      <c r="B20" s="63" t="s">
        <v>75</v>
      </c>
      <c r="C20" s="88">
        <v>6</v>
      </c>
      <c r="D20" s="89">
        <v>7</v>
      </c>
      <c r="E20" s="89">
        <v>8</v>
      </c>
      <c r="F20" s="89">
        <v>8</v>
      </c>
      <c r="G20" s="90">
        <v>7</v>
      </c>
      <c r="J20" s="44" t="s">
        <v>83</v>
      </c>
      <c r="K20" s="199" t="s">
        <v>98</v>
      </c>
      <c r="L20" s="46">
        <v>0</v>
      </c>
      <c r="M20" s="147">
        <v>-0.25524044389642409</v>
      </c>
      <c r="N20" s="147">
        <v>-0.32552404438964244</v>
      </c>
      <c r="O20" s="147">
        <v>-0.39210850801479658</v>
      </c>
      <c r="P20" s="147">
        <v>-0.51405672009864367</v>
      </c>
      <c r="Q20" s="147">
        <v>-0.55240443896424174</v>
      </c>
      <c r="R20" s="147">
        <v>-0.34032059186189889</v>
      </c>
      <c r="S20" s="147">
        <v>-0.25030826140567197</v>
      </c>
      <c r="T20" s="147">
        <v>-0.28113440197287287</v>
      </c>
      <c r="U20" s="147">
        <v>-0.12330456226880371</v>
      </c>
      <c r="V20" s="147">
        <v>3.9457459926017568E-2</v>
      </c>
      <c r="W20" s="147">
        <v>-0.11220715166461126</v>
      </c>
      <c r="X20" s="147">
        <v>-0.46485819975339071</v>
      </c>
      <c r="Y20" s="147">
        <v>-0.6325524044389641</v>
      </c>
      <c r="Z20" s="147">
        <v>-0.50431565967940795</v>
      </c>
      <c r="AA20" s="147">
        <v>-0.55610357583230563</v>
      </c>
      <c r="AB20" s="147">
        <v>-0.45992601726263849</v>
      </c>
      <c r="AC20" s="147">
        <v>-0.39580764488286035</v>
      </c>
      <c r="AD20" s="147">
        <v>-0.45561035758323032</v>
      </c>
      <c r="AE20" s="147">
        <v>-0.52404438964241651</v>
      </c>
      <c r="AF20" s="147">
        <v>-0.43773119605425381</v>
      </c>
      <c r="AG20" s="147">
        <v>-0.41923551171393314</v>
      </c>
      <c r="AH20" s="147">
        <v>-0.42786683107274948</v>
      </c>
      <c r="AI20" s="147">
        <v>-0.45252774352651015</v>
      </c>
      <c r="AJ20" s="152">
        <v>-0.56473489519112186</v>
      </c>
    </row>
    <row r="21" spans="2:36" ht="24" customHeight="1">
      <c r="B21" s="47" t="s">
        <v>76</v>
      </c>
      <c r="C21" s="91">
        <v>1</v>
      </c>
      <c r="D21" s="91">
        <v>6</v>
      </c>
      <c r="E21" s="84">
        <v>2</v>
      </c>
      <c r="F21" s="84">
        <v>2</v>
      </c>
      <c r="G21" s="85">
        <v>4</v>
      </c>
      <c r="J21" s="43" t="s">
        <v>83</v>
      </c>
      <c r="K21" s="198" t="s">
        <v>97</v>
      </c>
      <c r="L21" s="45">
        <v>0</v>
      </c>
      <c r="M21" s="147">
        <v>-0.23450134770889486</v>
      </c>
      <c r="N21" s="147">
        <v>-0.24663072776280315</v>
      </c>
      <c r="O21" s="147">
        <v>-0.17924528301886788</v>
      </c>
      <c r="P21" s="147">
        <v>-0.1361185983827492</v>
      </c>
      <c r="Q21" s="147">
        <v>-0.3153638814016172</v>
      </c>
      <c r="R21" s="147">
        <v>-0.11590296495956875</v>
      </c>
      <c r="S21" s="147">
        <v>-0.2318059299191374</v>
      </c>
      <c r="T21" s="147">
        <v>-0.19541778975741242</v>
      </c>
      <c r="U21" s="147">
        <v>5.9299191374663218E-2</v>
      </c>
      <c r="V21" s="147">
        <v>-0.11320754716981118</v>
      </c>
      <c r="W21" s="147">
        <v>-0.12129380053908345</v>
      </c>
      <c r="X21" s="147">
        <v>-0.3504043126684635</v>
      </c>
      <c r="Y21" s="147">
        <v>-0.41239892183288396</v>
      </c>
      <c r="Z21" s="147">
        <v>-0.31940700808625333</v>
      </c>
      <c r="AA21" s="147">
        <v>-0.42991913746630717</v>
      </c>
      <c r="AB21" s="147">
        <v>-0.40161725067385434</v>
      </c>
      <c r="AC21" s="147">
        <v>-0.27897574123989222</v>
      </c>
      <c r="AD21" s="147">
        <v>-0.33692722371967654</v>
      </c>
      <c r="AE21" s="147">
        <v>-0.4339622641509433</v>
      </c>
      <c r="AF21" s="147">
        <v>-0.38409703504043113</v>
      </c>
      <c r="AG21" s="147">
        <v>-0.38679245283018859</v>
      </c>
      <c r="AH21" s="147">
        <v>-0.34366576819407002</v>
      </c>
      <c r="AI21" s="147">
        <v>-0.25336927223719674</v>
      </c>
      <c r="AJ21" s="152">
        <v>-0.4043126684636118</v>
      </c>
    </row>
    <row r="22" spans="2:36" ht="24" customHeight="1">
      <c r="B22" s="64" t="s">
        <v>74</v>
      </c>
      <c r="C22" s="92">
        <v>5</v>
      </c>
      <c r="D22" s="92">
        <v>3</v>
      </c>
      <c r="E22" s="92">
        <v>3</v>
      </c>
      <c r="F22" s="92">
        <v>3</v>
      </c>
      <c r="G22" s="93">
        <v>2</v>
      </c>
      <c r="J22" s="44" t="s">
        <v>84</v>
      </c>
      <c r="K22" s="197" t="s">
        <v>101</v>
      </c>
      <c r="L22" s="42">
        <v>0</v>
      </c>
      <c r="M22" s="147">
        <v>-9.1384317521781222E-2</v>
      </c>
      <c r="N22" s="147">
        <v>7.6089060987415413E-2</v>
      </c>
      <c r="O22" s="147">
        <v>6.3891577928364196E-2</v>
      </c>
      <c r="P22" s="147">
        <v>-1.9361084220703706E-4</v>
      </c>
      <c r="Q22" s="147">
        <v>0.21316553727008714</v>
      </c>
      <c r="R22" s="147">
        <v>0.17657308809293326</v>
      </c>
      <c r="S22" s="147">
        <v>0.20387221684414314</v>
      </c>
      <c r="T22" s="147">
        <v>0.4714424007744431</v>
      </c>
      <c r="U22" s="147">
        <v>0.65091965150048381</v>
      </c>
      <c r="V22" s="147">
        <v>0.71597289448209067</v>
      </c>
      <c r="W22" s="147">
        <v>0.97773475314617597</v>
      </c>
      <c r="X22" s="147">
        <v>0.56902226524685373</v>
      </c>
      <c r="Y22" s="147">
        <v>0.46447241045498533</v>
      </c>
      <c r="Z22" s="147">
        <v>0.77366892545982546</v>
      </c>
      <c r="AJ22" s="41"/>
    </row>
    <row r="23" spans="2:36" ht="24" customHeight="1" thickBot="1">
      <c r="B23" s="65" t="s">
        <v>73</v>
      </c>
      <c r="C23" s="94">
        <v>4</v>
      </c>
      <c r="D23" s="94">
        <v>1</v>
      </c>
      <c r="E23" s="94">
        <v>1</v>
      </c>
      <c r="F23" s="94">
        <v>1</v>
      </c>
      <c r="G23" s="95">
        <v>1</v>
      </c>
      <c r="J23" s="43" t="s">
        <v>84</v>
      </c>
      <c r="K23" s="197" t="s">
        <v>97</v>
      </c>
      <c r="L23" s="42">
        <v>0</v>
      </c>
      <c r="M23" s="147">
        <v>-9.5435684647302899E-2</v>
      </c>
      <c r="N23" s="147">
        <v>4.7717842323651283E-2</v>
      </c>
      <c r="O23" s="147">
        <v>-0.12240663900414939</v>
      </c>
      <c r="P23" s="147">
        <v>-7.8838174273858974E-2</v>
      </c>
      <c r="Q23" s="147">
        <v>0.10995850622406622</v>
      </c>
      <c r="R23" s="147">
        <v>2.0746887966804906E-2</v>
      </c>
      <c r="S23" s="147">
        <v>-0.12863070539419086</v>
      </c>
      <c r="T23" s="147">
        <v>-5.1867219917012375E-2</v>
      </c>
      <c r="U23" s="147">
        <v>-5.6016597510373467E-2</v>
      </c>
      <c r="V23" s="147">
        <v>1.0373443983402453E-2</v>
      </c>
      <c r="W23" s="147">
        <v>0.14937759336099576</v>
      </c>
      <c r="X23" s="147">
        <v>-8.2987551867219955E-2</v>
      </c>
      <c r="Y23" s="147">
        <v>-3.319502074688796E-2</v>
      </c>
      <c r="Z23" s="147">
        <v>0.13278008298755184</v>
      </c>
      <c r="AA23" s="153"/>
      <c r="AB23" s="153"/>
      <c r="AC23" s="153"/>
      <c r="AD23" s="153"/>
      <c r="AE23" s="153"/>
      <c r="AF23" s="153"/>
      <c r="AG23" s="153"/>
      <c r="AH23" s="153"/>
      <c r="AI23" s="153"/>
      <c r="AJ23" s="154"/>
    </row>
    <row r="24" spans="2:36" ht="24" customHeight="1" thickBot="1">
      <c r="J24" s="216" t="s">
        <v>58</v>
      </c>
      <c r="K24" s="217"/>
      <c r="L24" s="40">
        <v>0</v>
      </c>
      <c r="M24" s="39">
        <f>AVERAGE(M16:M23)</f>
        <v>-9.5802077549293943E-2</v>
      </c>
      <c r="N24" s="39">
        <f t="shared" ref="N24:AJ24" si="1">AVERAGE(N16:N23)</f>
        <v>-9.3224048320166078E-2</v>
      </c>
      <c r="O24" s="39">
        <f t="shared" si="1"/>
        <v>-0.11353873047249589</v>
      </c>
      <c r="P24" s="39">
        <f t="shared" si="1"/>
        <v>-8.5940204429008085E-2</v>
      </c>
      <c r="Q24" s="39">
        <f t="shared" si="1"/>
        <v>-0.15536188649461016</v>
      </c>
      <c r="R24" s="39">
        <f t="shared" si="1"/>
        <v>-0.20241316821151489</v>
      </c>
      <c r="S24" s="39">
        <f t="shared" si="1"/>
        <v>-0.20147320450101097</v>
      </c>
      <c r="T24" s="39">
        <f t="shared" si="1"/>
        <v>-0.13885809443576985</v>
      </c>
      <c r="U24" s="39">
        <f t="shared" si="1"/>
        <v>-6.8554032237428286E-2</v>
      </c>
      <c r="V24" s="39">
        <f t="shared" si="1"/>
        <v>-1.6047414614327724E-2</v>
      </c>
      <c r="W24" s="39">
        <f t="shared" si="1"/>
        <v>5.0321826817284171E-2</v>
      </c>
      <c r="X24" s="39">
        <f t="shared" si="1"/>
        <v>-0.1011375159113672</v>
      </c>
      <c r="Y24" s="39">
        <f t="shared" si="1"/>
        <v>-0.20432955799358016</v>
      </c>
      <c r="Z24" s="39">
        <f t="shared" si="1"/>
        <v>-0.13215863488497398</v>
      </c>
      <c r="AA24" s="39">
        <f t="shared" si="1"/>
        <v>-0.30199466224361249</v>
      </c>
      <c r="AB24" s="39">
        <f t="shared" si="1"/>
        <v>-0.30698379290024858</v>
      </c>
      <c r="AC24" s="39">
        <f t="shared" si="1"/>
        <v>-0.37444579847323434</v>
      </c>
      <c r="AD24" s="39">
        <f t="shared" si="1"/>
        <v>-0.36977286982892332</v>
      </c>
      <c r="AE24" s="39">
        <f t="shared" si="1"/>
        <v>-0.44116481485578946</v>
      </c>
      <c r="AF24" s="39">
        <f t="shared" si="1"/>
        <v>-0.39718270339845435</v>
      </c>
      <c r="AG24" s="39">
        <f t="shared" si="1"/>
        <v>-0.29483558397729603</v>
      </c>
      <c r="AH24" s="39">
        <f t="shared" si="1"/>
        <v>-0.30023679955525379</v>
      </c>
      <c r="AI24" s="39">
        <f t="shared" si="1"/>
        <v>-0.26781235382072793</v>
      </c>
      <c r="AJ24" s="38">
        <f t="shared" si="1"/>
        <v>-0.384834681040717</v>
      </c>
    </row>
    <row r="25" spans="2:36" ht="16.05" customHeigh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1.05" hidden="1"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1.05" hidden="1" customHeight="1">
      <c r="J27" s="206" t="s">
        <v>91</v>
      </c>
      <c r="K27" s="207"/>
      <c r="L27" s="158">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52">
        <v>0.15979569178065556</v>
      </c>
    </row>
    <row r="28" spans="2:36" ht="30" hidden="1"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0.38842044041457058</v>
      </c>
      <c r="AF28" s="147">
        <v>0.46797880909447076</v>
      </c>
      <c r="AG28" s="147">
        <v>0.43129381818358792</v>
      </c>
      <c r="AH28" s="147">
        <v>0.46996211042729796</v>
      </c>
      <c r="AI28" s="147">
        <v>0.44902672224777396</v>
      </c>
      <c r="AJ28" s="152">
        <v>0.36564289381915693</v>
      </c>
    </row>
    <row r="29" spans="2:36" ht="1.05" hidden="1"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52">
        <v>0.24249812060483178</v>
      </c>
    </row>
    <row r="30" spans="2:36" ht="1.05" hidden="1"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1.05" hidden="1"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0.20531230398190772</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8" spans="10:36" ht="35.25" hidden="1" thickBot="1">
      <c r="J68" s="214" t="s">
        <v>131</v>
      </c>
      <c r="K68" s="21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hidden="1">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hidden="1">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hidden="1">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7.25" hidden="1"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7.25" hidden="1"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J24:K24"/>
    <mergeCell ref="F1:H1"/>
    <mergeCell ref="B2:D3"/>
    <mergeCell ref="J2:K2"/>
    <mergeCell ref="J11:K11"/>
    <mergeCell ref="J15:K15"/>
    <mergeCell ref="J73:K73"/>
    <mergeCell ref="J26:K26"/>
    <mergeCell ref="J27:K27"/>
    <mergeCell ref="J28:K28"/>
    <mergeCell ref="J29:K29"/>
    <mergeCell ref="J30:K30"/>
    <mergeCell ref="J31:K31"/>
    <mergeCell ref="J68:K68"/>
    <mergeCell ref="J69:K69"/>
    <mergeCell ref="J70:K70"/>
    <mergeCell ref="J71:K71"/>
    <mergeCell ref="J72:K72"/>
  </mergeCells>
  <phoneticPr fontId="13" type="noConversion"/>
  <conditionalFormatting sqref="C16:G23">
    <cfRule type="cellIs" dxfId="124" priority="6" operator="between">
      <formula>7</formula>
      <formula>8</formula>
    </cfRule>
    <cfRule type="cellIs" dxfId="123" priority="7" operator="between">
      <formula>1</formula>
      <formula>2</formula>
    </cfRule>
  </conditionalFormatting>
  <conditionalFormatting sqref="F3">
    <cfRule type="cellIs" dxfId="122" priority="2" operator="equal">
      <formula>"GOOD"</formula>
    </cfRule>
    <cfRule type="cellIs" dxfId="121" priority="4" operator="equal">
      <formula>"GOOD"</formula>
    </cfRule>
    <cfRule type="top10" dxfId="120" priority="5" percent="1" rank="10"/>
  </conditionalFormatting>
  <conditionalFormatting sqref="G3">
    <cfRule type="cellIs" dxfId="119" priority="1" operator="equal">
      <formula>"BAD"</formula>
    </cfRule>
    <cfRule type="cellIs" dxfId="118" priority="3" operator="equal">
      <formula>"BAD"</formula>
    </cfRule>
  </conditionalFormatting>
  <pageMargins left="0.7" right="0.7" top="0.75" bottom="0.75" header="0.3" footer="0.3"/>
  <pageSetup paperSize="9" orientation="portrait" horizontalDpi="360" verticalDpi="36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85F38-0232-1541-BE7D-9C1359AF4D09}">
  <dimension ref="B1:AJ73"/>
  <sheetViews>
    <sheetView topLeftCell="A15" zoomScale="55" zoomScaleNormal="55" workbookViewId="0">
      <selection activeCell="B15" sqref="B15:G2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18"/>
      <c r="G1" s="219"/>
      <c r="H1" s="219"/>
    </row>
    <row r="2" spans="2:36" ht="24" customHeight="1" thickBot="1">
      <c r="B2" s="240" t="s">
        <v>110</v>
      </c>
      <c r="C2" s="241"/>
      <c r="D2" s="242"/>
      <c r="J2" s="226" t="s">
        <v>60</v>
      </c>
      <c r="K2" s="227"/>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43"/>
      <c r="C3" s="244"/>
      <c r="D3" s="245"/>
      <c r="F3" s="188" t="s">
        <v>130</v>
      </c>
      <c r="G3" s="189" t="s">
        <v>129</v>
      </c>
      <c r="J3" s="48" t="s">
        <v>81</v>
      </c>
      <c r="K3" s="190" t="s">
        <v>102</v>
      </c>
      <c r="L3" s="42">
        <v>0</v>
      </c>
      <c r="M3" s="147">
        <v>8.7490206320188113E-2</v>
      </c>
      <c r="N3" s="147">
        <v>5.3538782972055499E-2</v>
      </c>
      <c r="O3" s="147">
        <v>-0.26795507965526244</v>
      </c>
      <c r="P3" s="147">
        <v>-0.19639592582919829</v>
      </c>
      <c r="Q3" s="147">
        <v>-0.2149386262731785</v>
      </c>
      <c r="R3" s="147">
        <v>-0.29093758161399852</v>
      </c>
      <c r="S3" s="147">
        <v>-0.14259597806215729</v>
      </c>
      <c r="T3" s="147">
        <v>-0.10603290676416832</v>
      </c>
      <c r="U3" s="147">
        <v>-0.16949595194567779</v>
      </c>
      <c r="V3" s="147">
        <v>-1.2013580569339322E-2</v>
      </c>
      <c r="W3" s="147">
        <v>-3.1078610603290646E-2</v>
      </c>
      <c r="X3" s="147">
        <v>-0.1175241577435362</v>
      </c>
      <c r="Y3" s="147">
        <v>-0.1329328806476886</v>
      </c>
      <c r="Z3" s="147">
        <v>-8.2005745625489679E-2</v>
      </c>
      <c r="AA3" s="147">
        <v>0.2013580569339255</v>
      </c>
      <c r="AB3" s="147">
        <v>0.16897362235570657</v>
      </c>
      <c r="AC3" s="147">
        <v>8.5923217550274211E-2</v>
      </c>
      <c r="AD3" s="147">
        <v>-6.2940715591538243E-2</v>
      </c>
      <c r="AE3" s="147">
        <v>-0.20867067119352312</v>
      </c>
      <c r="AF3" s="147">
        <v>-6.2157221206581403E-2</v>
      </c>
      <c r="AG3" s="147">
        <v>2.1676677983807568E-2</v>
      </c>
      <c r="AH3" s="147">
        <v>-6.0067902846696608E-3</v>
      </c>
      <c r="AI3" s="147">
        <v>7.3387307390963663E-2</v>
      </c>
      <c r="AJ3" s="152">
        <v>0.21859493340297709</v>
      </c>
    </row>
    <row r="4" spans="2:36" ht="24" customHeight="1" thickBot="1">
      <c r="J4" s="43" t="s">
        <v>81</v>
      </c>
      <c r="K4" s="191" t="s">
        <v>96</v>
      </c>
      <c r="L4" s="45">
        <v>0</v>
      </c>
      <c r="M4" s="147">
        <v>8.9301121656600424E-2</v>
      </c>
      <c r="N4" s="147">
        <v>2.7394305435720412E-2</v>
      </c>
      <c r="O4" s="147">
        <v>-0.235979292493529</v>
      </c>
      <c r="P4" s="147">
        <v>-0.20729076790336509</v>
      </c>
      <c r="Q4" s="147">
        <v>-0.24482312338222623</v>
      </c>
      <c r="R4" s="147">
        <v>-0.29831751509922355</v>
      </c>
      <c r="S4" s="147">
        <v>-7.0750647109577458E-2</v>
      </c>
      <c r="T4" s="147">
        <v>-4.7238999137187432E-2</v>
      </c>
      <c r="U4" s="147">
        <v>-0.1867989646246766</v>
      </c>
      <c r="V4" s="147">
        <v>5.6082830025884212E-2</v>
      </c>
      <c r="W4" s="147">
        <v>0.12079378774805849</v>
      </c>
      <c r="X4" s="147">
        <v>-4.5513373597929396E-2</v>
      </c>
      <c r="Y4" s="147">
        <v>-5.5220017256255582E-2</v>
      </c>
      <c r="Z4" s="147">
        <v>2.3943054357204119E-2</v>
      </c>
      <c r="AA4" s="147">
        <v>0.18356341673856713</v>
      </c>
      <c r="AB4" s="147">
        <v>0.17148403796376144</v>
      </c>
      <c r="AC4" s="147">
        <v>7.441760138050002E-2</v>
      </c>
      <c r="AD4" s="147">
        <v>-8.7575496117342944E-2</v>
      </c>
      <c r="AE4" s="147">
        <v>-0.24482312338222634</v>
      </c>
      <c r="AF4" s="147">
        <v>-0.15012942191544465</v>
      </c>
      <c r="AG4" s="147">
        <v>-0.11000862812769663</v>
      </c>
      <c r="AH4" s="147">
        <v>-0.10742018981880963</v>
      </c>
      <c r="AI4" s="147">
        <v>-1.87661777394309E-2</v>
      </c>
      <c r="AJ4" s="152">
        <v>3.2786885245901232E-2</v>
      </c>
    </row>
    <row r="5" spans="2:36" ht="24" customHeight="1">
      <c r="B5" s="51"/>
      <c r="C5" s="50">
        <v>2021</v>
      </c>
      <c r="D5" s="50">
        <v>2022</v>
      </c>
      <c r="E5" s="50">
        <v>2023</v>
      </c>
      <c r="F5" s="50">
        <v>2024</v>
      </c>
      <c r="G5" s="49">
        <v>2025</v>
      </c>
      <c r="J5" s="44" t="s">
        <v>82</v>
      </c>
      <c r="K5" s="192" t="s">
        <v>102</v>
      </c>
      <c r="L5" s="46">
        <v>0</v>
      </c>
      <c r="M5" s="147">
        <v>-1.7460787215152318E-2</v>
      </c>
      <c r="N5" s="147">
        <v>4.0248594258656345E-2</v>
      </c>
      <c r="O5" s="147">
        <v>0.36134951168984908</v>
      </c>
      <c r="P5" s="147">
        <v>0.32465226398342706</v>
      </c>
      <c r="Q5" s="147">
        <v>0.23054158034921568</v>
      </c>
      <c r="R5" s="147">
        <v>6.1852619118082375E-2</v>
      </c>
      <c r="S5" s="147">
        <v>-0.10328499556081672</v>
      </c>
      <c r="T5" s="147">
        <v>6.2740455756140845E-2</v>
      </c>
      <c r="U5" s="147">
        <v>0.15773897602841069</v>
      </c>
      <c r="V5" s="147">
        <v>0.12636874815034038</v>
      </c>
      <c r="W5" s="147">
        <v>0.21633619414027816</v>
      </c>
      <c r="X5" s="147">
        <v>0.38088191772713809</v>
      </c>
      <c r="Y5" s="147">
        <v>0.44421426457531821</v>
      </c>
      <c r="Z5" s="147">
        <v>0.47173720035513478</v>
      </c>
      <c r="AA5" s="147">
        <v>0.3711157147084938</v>
      </c>
      <c r="AB5" s="147">
        <v>0.24326723882805568</v>
      </c>
      <c r="AC5" s="147">
        <v>0.23231725362533306</v>
      </c>
      <c r="AD5" s="147">
        <v>0.47292098253921311</v>
      </c>
      <c r="AE5" s="147">
        <v>0.65936667653151848</v>
      </c>
      <c r="AF5" s="147">
        <v>0.85646641018052705</v>
      </c>
      <c r="AG5" s="147">
        <v>0.75969221663214026</v>
      </c>
      <c r="AH5" s="147">
        <v>0.95679195028114905</v>
      </c>
      <c r="AI5" s="147">
        <v>0.74874223142941765</v>
      </c>
      <c r="AJ5" s="152">
        <v>0.27138206569991175</v>
      </c>
    </row>
    <row r="6" spans="2:36" ht="24" customHeight="1">
      <c r="B6" s="47" t="s">
        <v>69</v>
      </c>
      <c r="C6" s="138">
        <v>-10.055449591280654</v>
      </c>
      <c r="D6" s="139">
        <v>-12.159855147439213</v>
      </c>
      <c r="E6" s="139">
        <v>-13.121876201460976</v>
      </c>
      <c r="F6" s="139">
        <v>-16.535076690973096</v>
      </c>
      <c r="G6" s="140">
        <v>-17.574724979876578</v>
      </c>
      <c r="H6" s="1"/>
      <c r="J6" s="43" t="s">
        <v>82</v>
      </c>
      <c r="K6" s="191" t="s">
        <v>96</v>
      </c>
      <c r="L6" s="45">
        <v>0</v>
      </c>
      <c r="M6" s="147">
        <v>-1.0169491525423791E-2</v>
      </c>
      <c r="N6" s="147">
        <v>7.2768361581920793E-2</v>
      </c>
      <c r="O6" s="147">
        <v>0.23999999999999977</v>
      </c>
      <c r="P6" s="147">
        <v>0.22734463276836148</v>
      </c>
      <c r="Q6" s="147">
        <v>0.12564971751412424</v>
      </c>
      <c r="R6" s="147">
        <v>-4.4067796610169574E-2</v>
      </c>
      <c r="S6" s="147">
        <v>-0.20881355932203394</v>
      </c>
      <c r="T6" s="147">
        <v>-0.10960451977401131</v>
      </c>
      <c r="U6" s="147">
        <v>-6.7570621468926562E-2</v>
      </c>
      <c r="V6" s="147">
        <v>-6.4858757062146832E-2</v>
      </c>
      <c r="W6" s="147">
        <v>2.8022598870056648E-2</v>
      </c>
      <c r="X6" s="147">
        <v>8.2033898305085007E-2</v>
      </c>
      <c r="Y6" s="147">
        <v>0.16293785310734488</v>
      </c>
      <c r="Z6" s="147">
        <v>0.19751412429378568</v>
      </c>
      <c r="AA6" s="147">
        <v>9.9661016949152748E-2</v>
      </c>
      <c r="AB6" s="147">
        <v>2.6440677966101944E-2</v>
      </c>
      <c r="AC6" s="147">
        <v>-4.7457627118642209E-3</v>
      </c>
      <c r="AD6" s="147">
        <v>0.28949152542372913</v>
      </c>
      <c r="AE6" s="147">
        <v>0.76858757062146954</v>
      </c>
      <c r="AF6" s="147">
        <v>1.1882485875706221</v>
      </c>
      <c r="AG6" s="147">
        <v>1.194350282485876</v>
      </c>
      <c r="AH6" s="147">
        <v>1.3918644067796615</v>
      </c>
      <c r="AI6" s="147">
        <v>1.1200000000000006</v>
      </c>
      <c r="AJ6" s="152">
        <v>0.56045197740113029</v>
      </c>
    </row>
    <row r="7" spans="2:36" ht="24" customHeight="1">
      <c r="B7" s="47" t="s">
        <v>70</v>
      </c>
      <c r="C7" s="141">
        <v>2.4876128288841945</v>
      </c>
      <c r="D7" s="142">
        <v>2.3095349490034622</v>
      </c>
      <c r="E7" s="142">
        <v>2.4699952448882549</v>
      </c>
      <c r="F7" s="142">
        <v>2.2608695652173911</v>
      </c>
      <c r="G7" s="143">
        <v>2.6412730234306476</v>
      </c>
      <c r="H7" s="1"/>
      <c r="J7" s="44" t="s">
        <v>83</v>
      </c>
      <c r="K7" s="192" t="s">
        <v>98</v>
      </c>
      <c r="L7" s="46">
        <v>0</v>
      </c>
      <c r="M7" s="147">
        <v>-0.25524044389642409</v>
      </c>
      <c r="N7" s="147">
        <v>-0.32552404438964244</v>
      </c>
      <c r="O7" s="147">
        <v>-0.39210850801479658</v>
      </c>
      <c r="P7" s="147">
        <v>-0.51405672009864367</v>
      </c>
      <c r="Q7" s="147">
        <v>-0.55240443896424174</v>
      </c>
      <c r="R7" s="147">
        <v>-0.34032059186189889</v>
      </c>
      <c r="S7" s="147">
        <v>-0.25030826140567197</v>
      </c>
      <c r="T7" s="147">
        <v>-0.28113440197287287</v>
      </c>
      <c r="U7" s="147">
        <v>-0.12330456226880371</v>
      </c>
      <c r="V7" s="147">
        <v>3.9457459926017568E-2</v>
      </c>
      <c r="W7" s="147">
        <v>-0.11220715166461126</v>
      </c>
      <c r="X7" s="147">
        <v>-0.46485819975339071</v>
      </c>
      <c r="Y7" s="147">
        <v>-0.6325524044389641</v>
      </c>
      <c r="Z7" s="147">
        <v>-0.50431565967940795</v>
      </c>
      <c r="AA7" s="147">
        <v>-0.55610357583230563</v>
      </c>
      <c r="AB7" s="147">
        <v>-0.45992601726263849</v>
      </c>
      <c r="AC7" s="147">
        <v>-0.39580764488286035</v>
      </c>
      <c r="AD7" s="147">
        <v>-0.45561035758323032</v>
      </c>
      <c r="AE7" s="147">
        <v>-0.52404438964241651</v>
      </c>
      <c r="AF7" s="147">
        <v>-0.43773119605425381</v>
      </c>
      <c r="AG7" s="147">
        <v>-0.41923551171393314</v>
      </c>
      <c r="AH7" s="147">
        <v>-0.42786683107274948</v>
      </c>
      <c r="AI7" s="147">
        <v>-0.45252774352651015</v>
      </c>
      <c r="AJ7" s="152">
        <v>-0.56473489519112186</v>
      </c>
    </row>
    <row r="8" spans="2:36" ht="24" customHeight="1">
      <c r="B8" s="47" t="s">
        <v>71</v>
      </c>
      <c r="C8" s="141">
        <v>6.9905660377358494</v>
      </c>
      <c r="D8" s="142">
        <v>7.8388998035363455</v>
      </c>
      <c r="E8" s="142">
        <v>8.8481262327416168</v>
      </c>
      <c r="F8" s="142">
        <v>9.1870860927152318</v>
      </c>
      <c r="G8" s="143">
        <v>13.704684317718941</v>
      </c>
      <c r="J8" s="43" t="s">
        <v>83</v>
      </c>
      <c r="K8" s="191" t="s">
        <v>96</v>
      </c>
      <c r="L8" s="45">
        <v>0</v>
      </c>
      <c r="M8" s="147">
        <v>7.4770258980785265E-2</v>
      </c>
      <c r="N8" s="147">
        <v>0.10672514619883056</v>
      </c>
      <c r="O8" s="147">
        <v>1.6290726817042689E-2</v>
      </c>
      <c r="P8" s="147">
        <v>-5.1378446115288079E-2</v>
      </c>
      <c r="Q8" s="147">
        <v>-8.0200501253132717E-2</v>
      </c>
      <c r="R8" s="147">
        <v>0.19172932330827086</v>
      </c>
      <c r="S8" s="147">
        <v>0.63450292397660846</v>
      </c>
      <c r="T8" s="147">
        <v>1.0223475355054301</v>
      </c>
      <c r="U8" s="147">
        <v>1.0279866332497911</v>
      </c>
      <c r="V8" s="147">
        <v>1.2105263157894739</v>
      </c>
      <c r="W8" s="147">
        <v>0.95927318295739372</v>
      </c>
      <c r="X8" s="147">
        <v>0.44214703425229751</v>
      </c>
      <c r="Y8" s="147">
        <v>0.43734335839599003</v>
      </c>
      <c r="Z8" s="147">
        <v>0.65914786967418548</v>
      </c>
      <c r="AA8" s="147">
        <v>0.66311612364243966</v>
      </c>
      <c r="AB8" s="147">
        <v>0.84440267335004227</v>
      </c>
      <c r="AC8" s="147">
        <v>1.1929824561403515</v>
      </c>
      <c r="AD8" s="147">
        <v>1.0154553049289894</v>
      </c>
      <c r="AE8" s="147">
        <v>0.96407685881370142</v>
      </c>
      <c r="AF8" s="147">
        <v>1.1294903926482878</v>
      </c>
      <c r="AG8" s="147">
        <v>1.3354218880534678</v>
      </c>
      <c r="AH8" s="147">
        <v>1.1370091896407692</v>
      </c>
      <c r="AI8" s="147">
        <v>1.2201336675020893</v>
      </c>
      <c r="AJ8" s="152">
        <v>0.92293233082706805</v>
      </c>
    </row>
    <row r="9" spans="2:36" ht="24" customHeight="1">
      <c r="B9" s="47" t="s">
        <v>72</v>
      </c>
      <c r="C9" s="141">
        <v>2.2618744442410295</v>
      </c>
      <c r="D9" s="142">
        <v>2.6956700183010049</v>
      </c>
      <c r="E9" s="142">
        <v>2.6651713133016197</v>
      </c>
      <c r="F9" s="142">
        <v>3.0663535256363184</v>
      </c>
      <c r="G9" s="143">
        <v>2.9987584035748855</v>
      </c>
      <c r="J9" s="44" t="s">
        <v>84</v>
      </c>
      <c r="K9" s="190" t="s">
        <v>98</v>
      </c>
      <c r="L9" s="42">
        <v>0</v>
      </c>
      <c r="M9" s="147">
        <v>-0.31336405529953915</v>
      </c>
      <c r="N9" s="147">
        <v>-7.373271889400923E-2</v>
      </c>
      <c r="O9" s="147">
        <v>-0.17050691244239624</v>
      </c>
      <c r="P9" s="147">
        <v>9.2165898617511122E-3</v>
      </c>
      <c r="Q9" s="147">
        <v>0.12903225806451624</v>
      </c>
      <c r="R9" s="147">
        <v>1.7281105990783363E-2</v>
      </c>
      <c r="S9" s="147">
        <v>-0.1105990783410139</v>
      </c>
      <c r="T9" s="147">
        <v>5.0691244239631228E-2</v>
      </c>
      <c r="U9" s="147">
        <v>8.5253456221198176E-2</v>
      </c>
      <c r="V9" s="147">
        <v>6.9124423963133452E-2</v>
      </c>
      <c r="W9" s="147">
        <v>2.3041474654377891E-2</v>
      </c>
      <c r="X9" s="147">
        <v>-0.18663594470046097</v>
      </c>
      <c r="Y9" s="147">
        <v>-0.16359447004608307</v>
      </c>
      <c r="Z9" s="147">
        <v>0.39400921658986165</v>
      </c>
      <c r="AJ9" s="41"/>
    </row>
    <row r="10" spans="2:36" ht="24" customHeight="1" thickBot="1">
      <c r="B10" s="63" t="s">
        <v>75</v>
      </c>
      <c r="C10" s="141">
        <v>2.5442972200571576</v>
      </c>
      <c r="D10" s="142">
        <v>2.6612405276452429</v>
      </c>
      <c r="E10" s="142">
        <v>3.1513335331135752</v>
      </c>
      <c r="F10" s="142">
        <v>5.376751230594472</v>
      </c>
      <c r="G10" s="143">
        <v>6.8160377358490569</v>
      </c>
      <c r="J10" s="43" t="s">
        <v>84</v>
      </c>
      <c r="K10" s="190" t="s">
        <v>97</v>
      </c>
      <c r="L10" s="42">
        <v>0</v>
      </c>
      <c r="M10" s="147">
        <v>-9.5435684647302899E-2</v>
      </c>
      <c r="N10" s="147">
        <v>4.7717842323651283E-2</v>
      </c>
      <c r="O10" s="147">
        <v>-0.12240663900414939</v>
      </c>
      <c r="P10" s="147">
        <v>-7.8838174273858974E-2</v>
      </c>
      <c r="Q10" s="147">
        <v>0.10995850622406622</v>
      </c>
      <c r="R10" s="147">
        <v>2.0746887966804906E-2</v>
      </c>
      <c r="S10" s="147">
        <v>-0.12863070539419086</v>
      </c>
      <c r="T10" s="147">
        <v>-5.1867219917012375E-2</v>
      </c>
      <c r="U10" s="147">
        <v>-5.6016597510373467E-2</v>
      </c>
      <c r="V10" s="147">
        <v>1.0373443983402453E-2</v>
      </c>
      <c r="W10" s="147">
        <v>0.14937759336099576</v>
      </c>
      <c r="X10" s="147">
        <v>-8.2987551867219955E-2</v>
      </c>
      <c r="Y10" s="147">
        <v>-3.319502074688796E-2</v>
      </c>
      <c r="Z10" s="147">
        <v>0.13278008298755184</v>
      </c>
      <c r="AA10" s="153"/>
      <c r="AB10" s="153"/>
      <c r="AC10" s="153"/>
      <c r="AD10" s="153"/>
      <c r="AE10" s="153"/>
      <c r="AF10" s="153"/>
      <c r="AG10" s="153"/>
      <c r="AH10" s="153"/>
      <c r="AI10" s="153"/>
      <c r="AJ10" s="154"/>
    </row>
    <row r="11" spans="2:36" ht="24" customHeight="1" thickBot="1">
      <c r="B11" s="47" t="s">
        <v>76</v>
      </c>
      <c r="C11" s="141">
        <v>2.6703499079189688</v>
      </c>
      <c r="D11" s="142">
        <v>2.7175052410901466</v>
      </c>
      <c r="E11" s="142">
        <v>2.5528811086797956</v>
      </c>
      <c r="F11" s="142">
        <v>3.5215004574565416</v>
      </c>
      <c r="G11" s="143">
        <v>3.94439048081593</v>
      </c>
      <c r="J11" s="216" t="s">
        <v>58</v>
      </c>
      <c r="K11" s="217"/>
      <c r="L11" s="40">
        <v>0</v>
      </c>
      <c r="M11" s="39">
        <f t="shared" ref="M11:AJ11" si="0">AVERAGE(M3:M10)</f>
        <v>-5.5013609453283555E-2</v>
      </c>
      <c r="N11" s="39">
        <f t="shared" si="0"/>
        <v>-6.3579663141020981E-3</v>
      </c>
      <c r="O11" s="39">
        <f t="shared" si="0"/>
        <v>-7.1414524137905264E-2</v>
      </c>
      <c r="P11" s="39">
        <f t="shared" si="0"/>
        <v>-6.0843318450851808E-2</v>
      </c>
      <c r="Q11" s="39">
        <f t="shared" si="0"/>
        <v>-6.2148078465107101E-2</v>
      </c>
      <c r="R11" s="39">
        <f t="shared" si="0"/>
        <v>-8.5254193600168629E-2</v>
      </c>
      <c r="S11" s="39">
        <f t="shared" si="0"/>
        <v>-4.756003765235671E-2</v>
      </c>
      <c r="T11" s="39">
        <f t="shared" si="0"/>
        <v>6.7487648491993735E-2</v>
      </c>
      <c r="U11" s="39">
        <f t="shared" si="0"/>
        <v>8.3474045960117732E-2</v>
      </c>
      <c r="V11" s="39">
        <f t="shared" si="0"/>
        <v>0.17938261052584573</v>
      </c>
      <c r="W11" s="39">
        <f t="shared" si="0"/>
        <v>0.16919488368290733</v>
      </c>
      <c r="X11" s="39">
        <f t="shared" si="0"/>
        <v>9.4295282774792266E-4</v>
      </c>
      <c r="Y11" s="39">
        <f t="shared" si="0"/>
        <v>3.3750853678467252E-3</v>
      </c>
      <c r="Z11" s="39">
        <f t="shared" si="0"/>
        <v>0.16160126786910323</v>
      </c>
      <c r="AA11" s="39">
        <f t="shared" si="0"/>
        <v>0.16045179219004554</v>
      </c>
      <c r="AB11" s="39">
        <f t="shared" si="0"/>
        <v>0.1657737055335049</v>
      </c>
      <c r="AC11" s="39">
        <f t="shared" si="0"/>
        <v>0.19751452018362237</v>
      </c>
      <c r="AD11" s="39">
        <f t="shared" si="0"/>
        <v>0.19529020726663671</v>
      </c>
      <c r="AE11" s="39">
        <f t="shared" si="0"/>
        <v>0.23574882029142055</v>
      </c>
      <c r="AF11" s="39">
        <f t="shared" si="0"/>
        <v>0.42069792520385957</v>
      </c>
      <c r="AG11" s="39">
        <f t="shared" si="0"/>
        <v>0.46364948755227697</v>
      </c>
      <c r="AH11" s="39">
        <f t="shared" si="0"/>
        <v>0.49072862258755851</v>
      </c>
      <c r="AI11" s="39">
        <f t="shared" si="0"/>
        <v>0.44849488084275507</v>
      </c>
      <c r="AJ11" s="38">
        <f t="shared" si="0"/>
        <v>0.24023554956431106</v>
      </c>
    </row>
    <row r="12" spans="2:36" ht="24" customHeight="1">
      <c r="B12" s="64" t="s">
        <v>74</v>
      </c>
      <c r="C12" s="141">
        <v>12.556373036388944</v>
      </c>
      <c r="D12" s="142">
        <v>8.7676914153132248</v>
      </c>
      <c r="E12" s="142">
        <v>6.625911625911626</v>
      </c>
      <c r="F12" s="142">
        <v>4.8448126232741622</v>
      </c>
      <c r="G12" s="143">
        <v>4.002486585525455</v>
      </c>
    </row>
    <row r="13" spans="2:36" ht="24" customHeight="1" thickBot="1">
      <c r="B13" s="65" t="s">
        <v>73</v>
      </c>
      <c r="C13" s="144">
        <v>17.641368664780035</v>
      </c>
      <c r="D13" s="145">
        <v>9.9826800364630817</v>
      </c>
      <c r="E13" s="145">
        <v>5.6316073840612333</v>
      </c>
      <c r="F13" s="145">
        <v>3.9285293925325311</v>
      </c>
      <c r="G13" s="146">
        <v>2.8995348391118783</v>
      </c>
    </row>
    <row r="14" spans="2:36" ht="24" customHeight="1" thickBot="1"/>
    <row r="15" spans="2:36" ht="24" customHeight="1" thickBot="1">
      <c r="B15" s="51"/>
      <c r="C15" s="50">
        <v>2021</v>
      </c>
      <c r="D15" s="50">
        <v>2022</v>
      </c>
      <c r="E15" s="50">
        <v>2023</v>
      </c>
      <c r="F15" s="50">
        <v>2024</v>
      </c>
      <c r="G15" s="49">
        <v>2025</v>
      </c>
      <c r="J15" s="228" t="s">
        <v>59</v>
      </c>
      <c r="K15" s="229"/>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8</v>
      </c>
      <c r="D16" s="84">
        <v>8</v>
      </c>
      <c r="E16" s="84">
        <v>8</v>
      </c>
      <c r="F16" s="84">
        <v>8</v>
      </c>
      <c r="G16" s="85">
        <v>8</v>
      </c>
      <c r="J16" s="185" t="s">
        <v>81</v>
      </c>
      <c r="K16" s="200" t="s">
        <v>111</v>
      </c>
      <c r="L16" s="186">
        <v>0</v>
      </c>
      <c r="M16" s="149">
        <v>-4.4342507645259932E-2</v>
      </c>
      <c r="N16" s="149">
        <v>-7.9701834862385357E-2</v>
      </c>
      <c r="O16" s="149">
        <v>-0.30358053007135566</v>
      </c>
      <c r="P16" s="149">
        <v>-0.28994648318042804</v>
      </c>
      <c r="Q16" s="149">
        <v>-0.40577217125382259</v>
      </c>
      <c r="R16" s="149">
        <v>-0.55058613659531086</v>
      </c>
      <c r="S16" s="149">
        <v>-0.53784403669724756</v>
      </c>
      <c r="T16" s="149">
        <v>-0.4912716615698266</v>
      </c>
      <c r="U16" s="149">
        <v>-0.58135830784913356</v>
      </c>
      <c r="V16" s="149">
        <v>-0.47024719673802229</v>
      </c>
      <c r="W16" s="149">
        <v>-0.36850152905198763</v>
      </c>
      <c r="X16" s="149">
        <v>-0.43361365953109066</v>
      </c>
      <c r="Y16" s="149">
        <v>-0.36015545361875634</v>
      </c>
      <c r="Z16" s="149">
        <v>-0.39965596330275222</v>
      </c>
      <c r="AA16" s="149">
        <v>-0.22241335372069315</v>
      </c>
      <c r="AB16" s="149">
        <v>-0.2382772680937818</v>
      </c>
      <c r="AC16" s="149">
        <v>-0.45291794087665638</v>
      </c>
      <c r="AD16" s="149">
        <v>-0.52395514780835883</v>
      </c>
      <c r="AE16" s="149">
        <v>-0.58741080530071343</v>
      </c>
      <c r="AF16" s="149">
        <v>-0.57581549439347612</v>
      </c>
      <c r="AG16" s="149">
        <v>-0.48318042813455653</v>
      </c>
      <c r="AH16" s="149">
        <v>-0.50949286442405706</v>
      </c>
      <c r="AI16" s="149">
        <v>-0.54466106014271154</v>
      </c>
      <c r="AJ16" s="150">
        <v>-0.52580275229357787</v>
      </c>
    </row>
    <row r="17" spans="2:36" ht="24" customHeight="1">
      <c r="B17" s="47" t="s">
        <v>70</v>
      </c>
      <c r="C17" s="84">
        <v>6</v>
      </c>
      <c r="D17" s="84">
        <v>7</v>
      </c>
      <c r="E17" s="84">
        <v>7</v>
      </c>
      <c r="F17" s="84">
        <v>7</v>
      </c>
      <c r="G17" s="85">
        <v>7</v>
      </c>
      <c r="J17" s="43" t="s">
        <v>81</v>
      </c>
      <c r="K17" s="198" t="s">
        <v>104</v>
      </c>
      <c r="L17" s="45">
        <v>0</v>
      </c>
      <c r="M17" s="147">
        <v>2.8493150684931523E-2</v>
      </c>
      <c r="N17" s="147">
        <v>-2.082191780821907E-2</v>
      </c>
      <c r="O17" s="147">
        <v>-0.30520547945205467</v>
      </c>
      <c r="P17" s="147">
        <v>-0.24876712328767103</v>
      </c>
      <c r="Q17" s="147">
        <v>-0.28821917808219166</v>
      </c>
      <c r="R17" s="147">
        <v>-0.34027397260273973</v>
      </c>
      <c r="S17" s="147">
        <v>-0.22301369863013698</v>
      </c>
      <c r="T17" s="147">
        <v>-0.20931506849315062</v>
      </c>
      <c r="U17" s="147">
        <v>-0.30301369863013694</v>
      </c>
      <c r="V17" s="147">
        <v>-0.11561643835616431</v>
      </c>
      <c r="W17" s="147">
        <v>-0.12438356164383557</v>
      </c>
      <c r="X17" s="147">
        <v>-0.19178082191780821</v>
      </c>
      <c r="Y17" s="147">
        <v>-0.25260273972602731</v>
      </c>
      <c r="Z17" s="147">
        <v>-0.19013698630136988</v>
      </c>
      <c r="AA17" s="147">
        <v>-1.69863013698629E-2</v>
      </c>
      <c r="AB17" s="147">
        <v>-8.2191780821917693E-2</v>
      </c>
      <c r="AC17" s="147">
        <v>-0.19287671232876702</v>
      </c>
      <c r="AD17" s="147">
        <v>-0.29808219178082185</v>
      </c>
      <c r="AE17" s="147">
        <v>-0.38904109589041092</v>
      </c>
      <c r="AF17" s="147">
        <v>-0.31890410958904114</v>
      </c>
      <c r="AG17" s="147">
        <v>-0.24712328767123293</v>
      </c>
      <c r="AH17" s="147">
        <v>-0.22027397260273973</v>
      </c>
      <c r="AI17" s="147">
        <v>-0.14082191780821918</v>
      </c>
      <c r="AJ17" s="152">
        <v>-0.15890410958904111</v>
      </c>
    </row>
    <row r="18" spans="2:36" ht="24" customHeight="1">
      <c r="B18" s="47" t="s">
        <v>71</v>
      </c>
      <c r="C18" s="86">
        <v>3</v>
      </c>
      <c r="D18" s="86">
        <v>3</v>
      </c>
      <c r="E18" s="86">
        <v>1</v>
      </c>
      <c r="F18" s="86">
        <v>1</v>
      </c>
      <c r="G18" s="87">
        <v>1</v>
      </c>
      <c r="J18" s="44" t="s">
        <v>82</v>
      </c>
      <c r="K18" s="199" t="s">
        <v>99</v>
      </c>
      <c r="L18" s="46">
        <v>0</v>
      </c>
      <c r="M18" s="147">
        <v>-6.4026402640264046E-2</v>
      </c>
      <c r="N18" s="147">
        <v>-7.7227722772277185E-2</v>
      </c>
      <c r="O18" s="147">
        <v>0.11881188118811892</v>
      </c>
      <c r="P18" s="147">
        <v>6.1056105610561184E-2</v>
      </c>
      <c r="Q18" s="147">
        <v>-1.848184818481835E-2</v>
      </c>
      <c r="R18" s="147">
        <v>-0.15907590759075896</v>
      </c>
      <c r="S18" s="147">
        <v>-0.30561056105610551</v>
      </c>
      <c r="T18" s="147">
        <v>-0.20132013201320109</v>
      </c>
      <c r="U18" s="147">
        <v>-9.7689768976897406E-2</v>
      </c>
      <c r="V18" s="147">
        <v>-6.0396039603960117E-2</v>
      </c>
      <c r="W18" s="147">
        <v>7.7227722772277518E-2</v>
      </c>
      <c r="X18" s="147">
        <v>-8.2508250825082285E-2</v>
      </c>
      <c r="Y18" s="147">
        <v>-0.18052805280528039</v>
      </c>
      <c r="Z18" s="147">
        <v>-0.15181518151815154</v>
      </c>
      <c r="AA18" s="147">
        <v>-9.6039603960395792E-2</v>
      </c>
      <c r="AB18" s="147">
        <v>-0.14356435643564336</v>
      </c>
      <c r="AC18" s="147">
        <v>-8.0528052805280192E-2</v>
      </c>
      <c r="AD18" s="147">
        <v>-5.77557755775574E-2</v>
      </c>
      <c r="AE18" s="147">
        <v>-2.1782178217821357E-2</v>
      </c>
      <c r="AF18" s="147">
        <v>3.5313531353135641E-2</v>
      </c>
      <c r="AG18" s="147">
        <v>7.5577557755776015E-2</v>
      </c>
      <c r="AH18" s="147">
        <v>-1.2541254125412182E-2</v>
      </c>
      <c r="AI18" s="147">
        <v>-9.9009900990065791E-4</v>
      </c>
      <c r="AJ18" s="152">
        <v>7.9867986798680013E-2</v>
      </c>
    </row>
    <row r="19" spans="2:36" ht="24" customHeight="1">
      <c r="B19" s="47" t="s">
        <v>72</v>
      </c>
      <c r="C19" s="86">
        <v>7</v>
      </c>
      <c r="D19" s="86">
        <v>5</v>
      </c>
      <c r="E19" s="86">
        <v>5</v>
      </c>
      <c r="F19" s="86">
        <v>6</v>
      </c>
      <c r="G19" s="87">
        <v>5</v>
      </c>
      <c r="J19" s="43" t="s">
        <v>82</v>
      </c>
      <c r="K19" s="198" t="s">
        <v>104</v>
      </c>
      <c r="L19" s="45">
        <v>0</v>
      </c>
      <c r="M19" s="147">
        <v>-7.5254237288135517E-2</v>
      </c>
      <c r="N19" s="147">
        <v>2.0338983050847137E-3</v>
      </c>
      <c r="O19" s="147">
        <v>0.21627118644067811</v>
      </c>
      <c r="P19" s="147">
        <v>0.13559322033898313</v>
      </c>
      <c r="Q19" s="147">
        <v>-1.3559322033896981E-3</v>
      </c>
      <c r="R19" s="147">
        <v>-0.13152542372881337</v>
      </c>
      <c r="S19" s="147">
        <v>-0.24406779661016931</v>
      </c>
      <c r="T19" s="147">
        <v>-0.15728813559322019</v>
      </c>
      <c r="U19" s="147">
        <v>-6.847457627118636E-2</v>
      </c>
      <c r="V19" s="147">
        <v>-3.5254237288135482E-2</v>
      </c>
      <c r="W19" s="147">
        <v>6.3050847457627235E-2</v>
      </c>
      <c r="X19" s="147">
        <v>4.067796610169494E-2</v>
      </c>
      <c r="Y19" s="147">
        <v>-8.4067796610169498E-2</v>
      </c>
      <c r="Z19" s="147">
        <v>-0.22033898305084754</v>
      </c>
      <c r="AA19" s="147">
        <v>-0.23186440677966114</v>
      </c>
      <c r="AB19" s="147">
        <v>-0.27864406779661022</v>
      </c>
      <c r="AC19" s="147">
        <v>-0.28000000000000014</v>
      </c>
      <c r="AD19" s="147">
        <v>-0.23796610169491528</v>
      </c>
      <c r="AE19" s="147">
        <v>-9.152542372881356E-2</v>
      </c>
      <c r="AF19" s="147">
        <v>-1.5593220338983027E-2</v>
      </c>
      <c r="AG19" s="147">
        <v>0.18169491525423731</v>
      </c>
      <c r="AH19" s="147">
        <v>0.14711864406779673</v>
      </c>
      <c r="AI19" s="147">
        <v>-2.7118644067796627E-2</v>
      </c>
      <c r="AJ19" s="152">
        <v>-0.28474576271186436</v>
      </c>
    </row>
    <row r="20" spans="2:36" ht="24" customHeight="1">
      <c r="B20" s="63" t="s">
        <v>75</v>
      </c>
      <c r="C20" s="88">
        <v>5</v>
      </c>
      <c r="D20" s="89">
        <v>6</v>
      </c>
      <c r="E20" s="89">
        <v>4</v>
      </c>
      <c r="F20" s="89">
        <v>2</v>
      </c>
      <c r="G20" s="90">
        <v>2</v>
      </c>
      <c r="J20" s="44" t="s">
        <v>83</v>
      </c>
      <c r="K20" s="199" t="s">
        <v>99</v>
      </c>
      <c r="L20" s="46">
        <v>0</v>
      </c>
      <c r="M20" s="147">
        <v>-0.10683453237410079</v>
      </c>
      <c r="N20" s="147">
        <v>-7.5539568345323715E-2</v>
      </c>
      <c r="O20" s="147">
        <v>-1.4748201438848918E-2</v>
      </c>
      <c r="P20" s="147">
        <v>-6.6546762589928088E-2</v>
      </c>
      <c r="Q20" s="147">
        <v>2.1582733812950394E-3</v>
      </c>
      <c r="R20" s="147">
        <v>2.6978417266187105E-2</v>
      </c>
      <c r="S20" s="147">
        <v>6.6187050359712396E-2</v>
      </c>
      <c r="T20" s="147">
        <v>0.12841726618705041</v>
      </c>
      <c r="U20" s="147">
        <v>0.17230215827338147</v>
      </c>
      <c r="V20" s="147">
        <v>7.6258992805755543E-2</v>
      </c>
      <c r="W20" s="147">
        <v>8.8848920863309422E-2</v>
      </c>
      <c r="X20" s="147">
        <v>0.17697841726618702</v>
      </c>
      <c r="Y20" s="147">
        <v>-1.4028776978417201E-2</v>
      </c>
      <c r="Z20" s="147">
        <v>0.17697841726618702</v>
      </c>
      <c r="AA20" s="147">
        <v>0.14388489208633093</v>
      </c>
      <c r="AB20" s="147">
        <v>9.676258992805753E-2</v>
      </c>
      <c r="AC20" s="147">
        <v>0.16654676258992795</v>
      </c>
      <c r="AD20" s="147">
        <v>0.13165467625899274</v>
      </c>
      <c r="AE20" s="147">
        <v>8.0575539568345178E-2</v>
      </c>
      <c r="AF20" s="147">
        <v>0.24136690647481984</v>
      </c>
      <c r="AG20" s="147">
        <v>0.47374100719424428</v>
      </c>
      <c r="AH20" s="147">
        <v>0.70215827338129477</v>
      </c>
      <c r="AI20" s="147">
        <v>0.76438848920863278</v>
      </c>
      <c r="AJ20" s="152">
        <v>0.34568345323740979</v>
      </c>
    </row>
    <row r="21" spans="2:36" ht="24" customHeight="1">
      <c r="B21" s="47" t="s">
        <v>76</v>
      </c>
      <c r="C21" s="91">
        <v>4</v>
      </c>
      <c r="D21" s="91">
        <v>4</v>
      </c>
      <c r="E21" s="84">
        <v>6</v>
      </c>
      <c r="F21" s="84">
        <v>5</v>
      </c>
      <c r="G21" s="85">
        <v>4</v>
      </c>
      <c r="J21" s="43" t="s">
        <v>83</v>
      </c>
      <c r="K21" s="198" t="s">
        <v>104</v>
      </c>
      <c r="L21" s="45">
        <v>0</v>
      </c>
      <c r="M21" s="147">
        <v>-0.11986970684039089</v>
      </c>
      <c r="N21" s="147">
        <v>-0.250814332247557</v>
      </c>
      <c r="O21" s="147">
        <v>-0.26188925081433223</v>
      </c>
      <c r="P21" s="147">
        <v>-0.30684039087947879</v>
      </c>
      <c r="Q21" s="147">
        <v>-0.30814332247557008</v>
      </c>
      <c r="R21" s="147">
        <v>-0.26775244299674261</v>
      </c>
      <c r="S21" s="147">
        <v>-0.12703583061889245</v>
      </c>
      <c r="T21" s="147">
        <v>-5.4071661237784951E-2</v>
      </c>
      <c r="U21" s="147">
        <v>0.13550488599348531</v>
      </c>
      <c r="V21" s="147">
        <v>0.10228013029315974</v>
      </c>
      <c r="W21" s="147">
        <v>-6.514657980456029E-2</v>
      </c>
      <c r="X21" s="147">
        <v>-0.31270358306188917</v>
      </c>
      <c r="Y21" s="147">
        <v>-0.35179153094462545</v>
      </c>
      <c r="Z21" s="147">
        <v>-0.25667752442996739</v>
      </c>
      <c r="AA21" s="147">
        <v>-0.2690553745928338</v>
      </c>
      <c r="AB21" s="147">
        <v>-0.25146579804560265</v>
      </c>
      <c r="AC21" s="147">
        <v>-0.12899022801302951</v>
      </c>
      <c r="AD21" s="147">
        <v>-0.26775244299674283</v>
      </c>
      <c r="AE21" s="147">
        <v>-0.14462540716612382</v>
      </c>
      <c r="AF21" s="147">
        <v>-8.4690553745928376E-2</v>
      </c>
      <c r="AG21" s="147">
        <v>-1.3029315960914056E-3</v>
      </c>
      <c r="AH21" s="147">
        <v>-0.13355048859934859</v>
      </c>
      <c r="AI21" s="147">
        <v>-0.14853420195439748</v>
      </c>
      <c r="AJ21" s="152">
        <v>-0.30032573289902287</v>
      </c>
    </row>
    <row r="22" spans="2:36" ht="24" customHeight="1">
      <c r="B22" s="64" t="s">
        <v>74</v>
      </c>
      <c r="C22" s="92">
        <v>2</v>
      </c>
      <c r="D22" s="92">
        <v>2</v>
      </c>
      <c r="E22" s="92">
        <v>2</v>
      </c>
      <c r="F22" s="92">
        <v>3</v>
      </c>
      <c r="G22" s="93">
        <v>3</v>
      </c>
      <c r="J22" s="44" t="s">
        <v>84</v>
      </c>
      <c r="K22" s="197" t="s">
        <v>99</v>
      </c>
      <c r="L22" s="42">
        <v>0</v>
      </c>
      <c r="M22" s="147">
        <v>-0.16228606356968212</v>
      </c>
      <c r="N22" s="147">
        <v>0</v>
      </c>
      <c r="O22" s="147">
        <v>-2.8117359413202925E-2</v>
      </c>
      <c r="P22" s="147">
        <v>-6.8154034229828908E-2</v>
      </c>
      <c r="Q22" s="147">
        <v>-8.8630806845966248E-3</v>
      </c>
      <c r="R22" s="147">
        <v>-3.8508557457212711E-2</v>
      </c>
      <c r="S22" s="147">
        <v>-8.1907090464547694E-2</v>
      </c>
      <c r="T22" s="147">
        <v>5.4706601466992577E-2</v>
      </c>
      <c r="U22" s="147">
        <v>0.2521393643031784</v>
      </c>
      <c r="V22" s="147">
        <v>0.44621026894865534</v>
      </c>
      <c r="W22" s="147">
        <v>0.49908312958435208</v>
      </c>
      <c r="X22" s="147">
        <v>0.14333740831295838</v>
      </c>
      <c r="Y22" s="147">
        <v>0.15892420537897323</v>
      </c>
      <c r="Z22" s="147">
        <v>0.3126528117359415</v>
      </c>
      <c r="AJ22" s="41"/>
    </row>
    <row r="23" spans="2:36" ht="24" customHeight="1" thickBot="1">
      <c r="B23" s="65" t="s">
        <v>73</v>
      </c>
      <c r="C23" s="94">
        <v>1</v>
      </c>
      <c r="D23" s="94">
        <v>1</v>
      </c>
      <c r="E23" s="94">
        <v>3</v>
      </c>
      <c r="F23" s="94">
        <v>4</v>
      </c>
      <c r="G23" s="95">
        <v>6</v>
      </c>
      <c r="J23" s="43" t="s">
        <v>84</v>
      </c>
      <c r="K23" s="197" t="s">
        <v>104</v>
      </c>
      <c r="L23" s="42">
        <v>0</v>
      </c>
      <c r="M23" s="147">
        <v>-5.6872037914692086E-2</v>
      </c>
      <c r="N23" s="147">
        <v>8.1516587677725072E-2</v>
      </c>
      <c r="O23" s="147">
        <v>6.3507109004739437E-2</v>
      </c>
      <c r="P23" s="147">
        <v>8.9099526066350743E-2</v>
      </c>
      <c r="Q23" s="147">
        <v>0.26729857819905201</v>
      </c>
      <c r="R23" s="147">
        <v>6.5402843601895633E-2</v>
      </c>
      <c r="S23" s="147">
        <v>0.24454976303317544</v>
      </c>
      <c r="T23" s="147">
        <v>0.33175355450236976</v>
      </c>
      <c r="U23" s="147">
        <v>0.45308056872037894</v>
      </c>
      <c r="V23" s="147">
        <v>0.26066350710900466</v>
      </c>
      <c r="W23" s="147">
        <v>0.23886255924170596</v>
      </c>
      <c r="X23" s="147">
        <v>1.8009478672985635E-2</v>
      </c>
      <c r="Y23" s="147">
        <v>0.10995260663507089</v>
      </c>
      <c r="Z23" s="147">
        <v>0.38767772511848309</v>
      </c>
      <c r="AA23" s="153"/>
      <c r="AB23" s="153"/>
      <c r="AC23" s="153"/>
      <c r="AD23" s="153"/>
      <c r="AE23" s="153"/>
      <c r="AF23" s="153"/>
      <c r="AG23" s="153"/>
      <c r="AH23" s="153"/>
      <c r="AI23" s="153"/>
      <c r="AJ23" s="154"/>
    </row>
    <row r="24" spans="2:36" ht="24" customHeight="1" thickBot="1">
      <c r="J24" s="216" t="s">
        <v>58</v>
      </c>
      <c r="K24" s="217"/>
      <c r="L24" s="40">
        <v>0</v>
      </c>
      <c r="M24" s="39">
        <f>AVERAGE(M16:M23)</f>
        <v>-7.5124042198449231E-2</v>
      </c>
      <c r="N24" s="39">
        <f t="shared" ref="N24:AJ24" si="1">AVERAGE(N16:N23)</f>
        <v>-5.2569361256619068E-2</v>
      </c>
      <c r="O24" s="39">
        <f t="shared" si="1"/>
        <v>-6.4368830569532243E-2</v>
      </c>
      <c r="P24" s="39">
        <f t="shared" si="1"/>
        <v>-8.6813242768929974E-2</v>
      </c>
      <c r="Q24" s="39">
        <f t="shared" si="1"/>
        <v>-9.5172335163005245E-2</v>
      </c>
      <c r="R24" s="39">
        <f t="shared" si="1"/>
        <v>-0.17441764751293692</v>
      </c>
      <c r="S24" s="39">
        <f t="shared" si="1"/>
        <v>-0.15109277508552643</v>
      </c>
      <c r="T24" s="39">
        <f t="shared" si="1"/>
        <v>-7.4798654593846325E-2</v>
      </c>
      <c r="U24" s="39">
        <f t="shared" si="1"/>
        <v>-4.6886718046162679E-3</v>
      </c>
      <c r="V24" s="39">
        <f t="shared" si="1"/>
        <v>2.5487373396286636E-2</v>
      </c>
      <c r="W24" s="39">
        <f t="shared" si="1"/>
        <v>5.1130188677361091E-2</v>
      </c>
      <c r="X24" s="39">
        <f t="shared" si="1"/>
        <v>-8.0200380622755543E-2</v>
      </c>
      <c r="Y24" s="39">
        <f t="shared" si="1"/>
        <v>-0.12178719233365401</v>
      </c>
      <c r="Z24" s="39">
        <f t="shared" si="1"/>
        <v>-4.2664460560309619E-2</v>
      </c>
      <c r="AA24" s="39">
        <f t="shared" si="1"/>
        <v>-0.11541235805618598</v>
      </c>
      <c r="AB24" s="39">
        <f t="shared" si="1"/>
        <v>-0.14956344687758302</v>
      </c>
      <c r="AC24" s="39">
        <f t="shared" si="1"/>
        <v>-0.16146102857230085</v>
      </c>
      <c r="AD24" s="39">
        <f t="shared" si="1"/>
        <v>-0.20897616393323393</v>
      </c>
      <c r="AE24" s="39">
        <f t="shared" si="1"/>
        <v>-0.19230156178925636</v>
      </c>
      <c r="AF24" s="39">
        <f t="shared" si="1"/>
        <v>-0.1197204900399122</v>
      </c>
      <c r="AG24" s="39">
        <f t="shared" si="1"/>
        <v>-9.8861199603876112E-5</v>
      </c>
      <c r="AH24" s="39">
        <f t="shared" si="1"/>
        <v>-4.4302770504110094E-3</v>
      </c>
      <c r="AI24" s="39">
        <f t="shared" si="1"/>
        <v>-1.6289572295732118E-2</v>
      </c>
      <c r="AJ24" s="38">
        <f t="shared" si="1"/>
        <v>-0.14070448624290274</v>
      </c>
    </row>
    <row r="25" spans="2:36" ht="22.05" customHeigh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1.05" hidden="1"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1.05" hidden="1" customHeight="1">
      <c r="J27" s="206" t="s">
        <v>91</v>
      </c>
      <c r="K27" s="207"/>
      <c r="L27" s="187">
        <v>0</v>
      </c>
      <c r="M27" s="149">
        <v>-8.7956719149039353E-2</v>
      </c>
      <c r="N27" s="149">
        <v>-8.7908158422747573E-2</v>
      </c>
      <c r="O27" s="149">
        <v>-0.16445089958745451</v>
      </c>
      <c r="P27" s="149">
        <v>-8.8318717290488125E-2</v>
      </c>
      <c r="Q27" s="149">
        <v>-0.12701057961641449</v>
      </c>
      <c r="R27" s="149">
        <v>-0.20854403906048247</v>
      </c>
      <c r="S27" s="149">
        <v>-0.14533563187437792</v>
      </c>
      <c r="T27" s="149">
        <v>-9.9394977496518044E-2</v>
      </c>
      <c r="U27" s="149">
        <v>-0.15250496091965193</v>
      </c>
      <c r="V27" s="149">
        <v>-0.10016974181144767</v>
      </c>
      <c r="W27" s="149">
        <v>-0.12366651141949625</v>
      </c>
      <c r="X27" s="149">
        <v>-9.2949644734141024E-2</v>
      </c>
      <c r="Y27" s="149">
        <v>-7.966828609331178E-2</v>
      </c>
      <c r="Z27" s="149">
        <v>-7.7383724651852726E-2</v>
      </c>
      <c r="AA27" s="149">
        <v>-1.7665067841541982E-2</v>
      </c>
      <c r="AB27" s="149">
        <v>1.2923775110861957E-2</v>
      </c>
      <c r="AC27" s="149">
        <v>-5.0216205597285457E-3</v>
      </c>
      <c r="AD27" s="149">
        <v>-5.3496261927728272E-2</v>
      </c>
      <c r="AE27" s="149">
        <v>-7.4300118532318216E-2</v>
      </c>
      <c r="AF27" s="149">
        <v>8.2531161638792483E-3</v>
      </c>
      <c r="AG27" s="149">
        <v>5.2847314040009641E-2</v>
      </c>
      <c r="AH27" s="149">
        <v>6.9583106164784025E-2</v>
      </c>
      <c r="AI27" s="149">
        <v>0.12490260263419861</v>
      </c>
      <c r="AJ27" s="150">
        <v>0.15979569178065556</v>
      </c>
    </row>
    <row r="28" spans="2:36" ht="30" hidden="1"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0.38842044041457102</v>
      </c>
      <c r="AF28" s="147">
        <v>0.46797880909447076</v>
      </c>
      <c r="AG28" s="147">
        <v>0.43129381818358792</v>
      </c>
      <c r="AH28" s="147">
        <v>0.46996211042729796</v>
      </c>
      <c r="AI28" s="147">
        <v>0.44902672224777396</v>
      </c>
      <c r="AJ28" s="152">
        <v>0.36564289381915693</v>
      </c>
    </row>
    <row r="29" spans="2:36" ht="1.05" hidden="1"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52">
        <v>0.24249812060483178</v>
      </c>
    </row>
    <row r="30" spans="2:36" ht="1.05" hidden="1"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1.05" hidden="1"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0.20531230398190789</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8" spans="10:36" ht="35.25" hidden="1" thickBot="1">
      <c r="J68" s="214" t="s">
        <v>131</v>
      </c>
      <c r="K68" s="21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hidden="1">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hidden="1">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hidden="1">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7.25" hidden="1"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7.25" hidden="1"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J24:K24"/>
    <mergeCell ref="F1:H1"/>
    <mergeCell ref="B2:D3"/>
    <mergeCell ref="J2:K2"/>
    <mergeCell ref="J11:K11"/>
    <mergeCell ref="J15:K15"/>
    <mergeCell ref="J73:K73"/>
    <mergeCell ref="J26:K26"/>
    <mergeCell ref="J27:K27"/>
    <mergeCell ref="J28:K28"/>
    <mergeCell ref="J29:K29"/>
    <mergeCell ref="J30:K30"/>
    <mergeCell ref="J31:K31"/>
    <mergeCell ref="J68:K68"/>
    <mergeCell ref="J69:K69"/>
    <mergeCell ref="J70:K70"/>
    <mergeCell ref="J71:K71"/>
    <mergeCell ref="J72:K72"/>
  </mergeCells>
  <phoneticPr fontId="13" type="noConversion"/>
  <conditionalFormatting sqref="C16:G23">
    <cfRule type="cellIs" dxfId="117" priority="6" operator="between">
      <formula>7</formula>
      <formula>8</formula>
    </cfRule>
    <cfRule type="cellIs" dxfId="116" priority="7" operator="between">
      <formula>1</formula>
      <formula>2</formula>
    </cfRule>
  </conditionalFormatting>
  <conditionalFormatting sqref="F3">
    <cfRule type="cellIs" dxfId="115" priority="2" operator="equal">
      <formula>"GOOD"</formula>
    </cfRule>
    <cfRule type="cellIs" dxfId="114" priority="4" operator="equal">
      <formula>"GOOD"</formula>
    </cfRule>
    <cfRule type="top10" dxfId="113" priority="5" percent="1" rank="10"/>
  </conditionalFormatting>
  <conditionalFormatting sqref="G3">
    <cfRule type="cellIs" dxfId="112" priority="1" operator="equal">
      <formula>"BAD"</formula>
    </cfRule>
    <cfRule type="cellIs" dxfId="111" priority="3" operator="equal">
      <formula>"BAD"</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14A8D-1E0C-5A42-A659-01FF3A41B064}">
  <dimension ref="B1:AJ73"/>
  <sheetViews>
    <sheetView topLeftCell="A55" zoomScale="61" zoomScaleNormal="55" workbookViewId="0">
      <selection activeCell="B15" sqref="B15:G2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18"/>
      <c r="G1" s="219"/>
      <c r="H1" s="219"/>
    </row>
    <row r="2" spans="2:36" ht="24" customHeight="1" thickBot="1">
      <c r="B2" s="240" t="s">
        <v>112</v>
      </c>
      <c r="C2" s="241"/>
      <c r="D2" s="242"/>
      <c r="J2" s="226" t="s">
        <v>60</v>
      </c>
      <c r="K2" s="227"/>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43"/>
      <c r="C3" s="244"/>
      <c r="D3" s="245"/>
      <c r="F3" s="188" t="s">
        <v>130</v>
      </c>
      <c r="G3" s="189" t="s">
        <v>129</v>
      </c>
      <c r="J3" s="48" t="s">
        <v>81</v>
      </c>
      <c r="K3" s="190" t="s">
        <v>102</v>
      </c>
      <c r="L3" s="42">
        <v>0</v>
      </c>
      <c r="M3" s="147">
        <v>8.7490206320188113E-2</v>
      </c>
      <c r="N3" s="147">
        <v>5.3538782972055499E-2</v>
      </c>
      <c r="O3" s="147">
        <v>-0.26795507965526244</v>
      </c>
      <c r="P3" s="147">
        <v>-0.19639592582919829</v>
      </c>
      <c r="Q3" s="147">
        <v>-0.2149386262731785</v>
      </c>
      <c r="R3" s="147">
        <v>-0.29093758161399852</v>
      </c>
      <c r="S3" s="147">
        <v>-0.14259597806215729</v>
      </c>
      <c r="T3" s="147">
        <v>-0.10603290676416832</v>
      </c>
      <c r="U3" s="147">
        <v>-0.16949595194567779</v>
      </c>
      <c r="V3" s="147">
        <v>-1.2013580569339322E-2</v>
      </c>
      <c r="W3" s="147">
        <v>-3.1078610603290646E-2</v>
      </c>
      <c r="X3" s="147">
        <v>-0.1175241577435362</v>
      </c>
      <c r="Y3" s="147">
        <v>-0.1329328806476886</v>
      </c>
      <c r="Z3" s="147">
        <v>-8.2005745625489679E-2</v>
      </c>
      <c r="AA3" s="147">
        <v>0.2013580569339255</v>
      </c>
      <c r="AB3" s="147">
        <v>0.16897362235570657</v>
      </c>
      <c r="AC3" s="147">
        <v>8.5923217550274211E-2</v>
      </c>
      <c r="AD3" s="147">
        <v>-6.2940715591538243E-2</v>
      </c>
      <c r="AE3" s="147">
        <v>-0.20867067119352312</v>
      </c>
      <c r="AF3" s="147">
        <v>-6.2157221206581403E-2</v>
      </c>
      <c r="AG3" s="147">
        <v>2.1676677983807568E-2</v>
      </c>
      <c r="AH3" s="147">
        <v>-6.0067902846696608E-3</v>
      </c>
      <c r="AI3" s="147">
        <v>7.3387307390963663E-2</v>
      </c>
      <c r="AJ3" s="152">
        <v>0.21859493340297709</v>
      </c>
    </row>
    <row r="4" spans="2:36" ht="24" customHeight="1" thickBot="1">
      <c r="J4" s="43" t="s">
        <v>81</v>
      </c>
      <c r="K4" s="191" t="s">
        <v>96</v>
      </c>
      <c r="L4" s="45">
        <v>0</v>
      </c>
      <c r="M4" s="147">
        <v>8.9301121656600424E-2</v>
      </c>
      <c r="N4" s="147">
        <v>2.7394305435720412E-2</v>
      </c>
      <c r="O4" s="147">
        <v>-0.235979292493529</v>
      </c>
      <c r="P4" s="147">
        <v>-0.20729076790336509</v>
      </c>
      <c r="Q4" s="147">
        <v>-0.24482312338222623</v>
      </c>
      <c r="R4" s="147">
        <v>-0.29831751509922355</v>
      </c>
      <c r="S4" s="147">
        <v>-7.0750647109577458E-2</v>
      </c>
      <c r="T4" s="147">
        <v>-4.7238999137187432E-2</v>
      </c>
      <c r="U4" s="147">
        <v>-0.1867989646246766</v>
      </c>
      <c r="V4" s="147">
        <v>5.6082830025884212E-2</v>
      </c>
      <c r="W4" s="147">
        <v>0.12079378774805849</v>
      </c>
      <c r="X4" s="147">
        <v>-4.5513373597929396E-2</v>
      </c>
      <c r="Y4" s="147">
        <v>-5.5220017256255582E-2</v>
      </c>
      <c r="Z4" s="147">
        <v>2.3943054357204119E-2</v>
      </c>
      <c r="AA4" s="147">
        <v>0.18356341673856713</v>
      </c>
      <c r="AB4" s="147">
        <v>0.17148403796376144</v>
      </c>
      <c r="AC4" s="147">
        <v>7.441760138050002E-2</v>
      </c>
      <c r="AD4" s="147">
        <v>-8.7575496117342944E-2</v>
      </c>
      <c r="AE4" s="147">
        <v>-0.24482312338222634</v>
      </c>
      <c r="AF4" s="147">
        <v>-0.15012942191544465</v>
      </c>
      <c r="AG4" s="147">
        <v>-0.11000862812769663</v>
      </c>
      <c r="AH4" s="147">
        <v>-0.10742018981880963</v>
      </c>
      <c r="AI4" s="147">
        <v>-1.87661777394309E-2</v>
      </c>
      <c r="AJ4" s="152">
        <v>3.2786885245901232E-2</v>
      </c>
    </row>
    <row r="5" spans="2:36" ht="24" customHeight="1">
      <c r="B5" s="51"/>
      <c r="C5" s="50">
        <v>2021</v>
      </c>
      <c r="D5" s="50">
        <v>2022</v>
      </c>
      <c r="E5" s="50">
        <v>2023</v>
      </c>
      <c r="F5" s="50">
        <v>2024</v>
      </c>
      <c r="G5" s="49">
        <v>2025</v>
      </c>
      <c r="J5" s="44" t="s">
        <v>82</v>
      </c>
      <c r="K5" s="192" t="s">
        <v>102</v>
      </c>
      <c r="L5" s="46">
        <v>0</v>
      </c>
      <c r="M5" s="147">
        <v>-1.7460787215152318E-2</v>
      </c>
      <c r="N5" s="147">
        <v>4.0248594258656345E-2</v>
      </c>
      <c r="O5" s="147">
        <v>0.36134951168984908</v>
      </c>
      <c r="P5" s="147">
        <v>0.32465226398342706</v>
      </c>
      <c r="Q5" s="147">
        <v>0.23054158034921568</v>
      </c>
      <c r="R5" s="147">
        <v>6.1852619118082375E-2</v>
      </c>
      <c r="S5" s="147">
        <v>-0.10328499556081672</v>
      </c>
      <c r="T5" s="147">
        <v>6.2740455756140845E-2</v>
      </c>
      <c r="U5" s="147">
        <v>0.15773897602841069</v>
      </c>
      <c r="V5" s="147">
        <v>0.12636874815034038</v>
      </c>
      <c r="W5" s="147">
        <v>0.21633619414027816</v>
      </c>
      <c r="X5" s="147">
        <v>0.38088191772713809</v>
      </c>
      <c r="Y5" s="147">
        <v>0.44421426457531821</v>
      </c>
      <c r="Z5" s="147">
        <v>0.47173720035513478</v>
      </c>
      <c r="AA5" s="147">
        <v>0.3711157147084938</v>
      </c>
      <c r="AB5" s="147">
        <v>0.24326723882805568</v>
      </c>
      <c r="AC5" s="147">
        <v>0.23231725362533306</v>
      </c>
      <c r="AD5" s="147">
        <v>0.47292098253921311</v>
      </c>
      <c r="AE5" s="147">
        <v>0.65936667653151848</v>
      </c>
      <c r="AF5" s="147">
        <v>0.85646641018052705</v>
      </c>
      <c r="AG5" s="147">
        <v>0.75969221663214026</v>
      </c>
      <c r="AH5" s="147">
        <v>0.95679195028114905</v>
      </c>
      <c r="AI5" s="147">
        <v>0.74874223142941765</v>
      </c>
      <c r="AJ5" s="152">
        <v>0.27138206569991175</v>
      </c>
    </row>
    <row r="6" spans="2:36" ht="24" customHeight="1">
      <c r="B6" s="47" t="s">
        <v>69</v>
      </c>
      <c r="C6" s="138">
        <v>-9.0430773562328426</v>
      </c>
      <c r="D6" s="139">
        <v>-9.9842453763604535</v>
      </c>
      <c r="E6" s="139">
        <v>-11.614762294336879</v>
      </c>
      <c r="F6" s="139">
        <v>-13.600719032574354</v>
      </c>
      <c r="G6" s="140">
        <v>-16.038032191069576</v>
      </c>
      <c r="H6" s="1"/>
      <c r="J6" s="43" t="s">
        <v>82</v>
      </c>
      <c r="K6" s="191" t="s">
        <v>96</v>
      </c>
      <c r="L6" s="45">
        <v>0</v>
      </c>
      <c r="M6" s="147">
        <v>-1.0169491525423791E-2</v>
      </c>
      <c r="N6" s="147">
        <v>7.2768361581920793E-2</v>
      </c>
      <c r="O6" s="147">
        <v>0.23999999999999977</v>
      </c>
      <c r="P6" s="147">
        <v>0.22734463276836148</v>
      </c>
      <c r="Q6" s="147">
        <v>0.12564971751412424</v>
      </c>
      <c r="R6" s="147">
        <v>-4.4067796610169574E-2</v>
      </c>
      <c r="S6" s="147">
        <v>-0.20881355932203394</v>
      </c>
      <c r="T6" s="147">
        <v>-0.10960451977401131</v>
      </c>
      <c r="U6" s="147">
        <v>-6.7570621468926562E-2</v>
      </c>
      <c r="V6" s="147">
        <v>-6.4858757062146832E-2</v>
      </c>
      <c r="W6" s="147">
        <v>2.8022598870056648E-2</v>
      </c>
      <c r="X6" s="147">
        <v>8.2033898305085007E-2</v>
      </c>
      <c r="Y6" s="147">
        <v>0.16293785310734488</v>
      </c>
      <c r="Z6" s="147">
        <v>0.19751412429378568</v>
      </c>
      <c r="AA6" s="147">
        <v>9.9661016949152748E-2</v>
      </c>
      <c r="AB6" s="147">
        <v>2.6440677966101944E-2</v>
      </c>
      <c r="AC6" s="147">
        <v>-4.7457627118642209E-3</v>
      </c>
      <c r="AD6" s="147">
        <v>0.28949152542372913</v>
      </c>
      <c r="AE6" s="147">
        <v>0.76858757062146954</v>
      </c>
      <c r="AF6" s="147">
        <v>1.1882485875706221</v>
      </c>
      <c r="AG6" s="147">
        <v>1.194350282485876</v>
      </c>
      <c r="AH6" s="147">
        <v>1.3918644067796615</v>
      </c>
      <c r="AI6" s="147">
        <v>1.1200000000000006</v>
      </c>
      <c r="AJ6" s="152">
        <v>0.56045197740113029</v>
      </c>
    </row>
    <row r="7" spans="2:36" ht="24" customHeight="1">
      <c r="B7" s="47" t="s">
        <v>70</v>
      </c>
      <c r="C7" s="141">
        <v>1.7215655780196992</v>
      </c>
      <c r="D7" s="142">
        <v>1.5565139092933984</v>
      </c>
      <c r="E7" s="142">
        <v>1.3566173002546928</v>
      </c>
      <c r="F7" s="142">
        <v>1.2091540857895997</v>
      </c>
      <c r="G7" s="143">
        <v>0.92297201462004252</v>
      </c>
      <c r="H7" s="1"/>
      <c r="J7" s="44" t="s">
        <v>83</v>
      </c>
      <c r="K7" s="192" t="s">
        <v>98</v>
      </c>
      <c r="L7" s="46">
        <v>0</v>
      </c>
      <c r="M7" s="147">
        <v>-0.25524044389642409</v>
      </c>
      <c r="N7" s="147">
        <v>-0.32552404438964244</v>
      </c>
      <c r="O7" s="147">
        <v>-0.39210850801479658</v>
      </c>
      <c r="P7" s="147">
        <v>-0.51405672009864367</v>
      </c>
      <c r="Q7" s="147">
        <v>-0.55240443896424174</v>
      </c>
      <c r="R7" s="147">
        <v>-0.34032059186189889</v>
      </c>
      <c r="S7" s="147">
        <v>-0.25030826140567197</v>
      </c>
      <c r="T7" s="147">
        <v>-0.28113440197287287</v>
      </c>
      <c r="U7" s="147">
        <v>-0.12330456226880371</v>
      </c>
      <c r="V7" s="147">
        <v>3.9457459926017568E-2</v>
      </c>
      <c r="W7" s="147">
        <v>-0.11220715166461126</v>
      </c>
      <c r="X7" s="147">
        <v>-0.46485819975339071</v>
      </c>
      <c r="Y7" s="147">
        <v>-0.6325524044389641</v>
      </c>
      <c r="Z7" s="147">
        <v>-0.50431565967940795</v>
      </c>
      <c r="AA7" s="147">
        <v>-0.55610357583230563</v>
      </c>
      <c r="AB7" s="147">
        <v>-0.45992601726263849</v>
      </c>
      <c r="AC7" s="147">
        <v>-0.39580764488286035</v>
      </c>
      <c r="AD7" s="147">
        <v>-0.45561035758323032</v>
      </c>
      <c r="AE7" s="147">
        <v>-0.52404438964241651</v>
      </c>
      <c r="AF7" s="147">
        <v>-0.43773119605425381</v>
      </c>
      <c r="AG7" s="147">
        <v>-0.41923551171393314</v>
      </c>
      <c r="AH7" s="147">
        <v>-0.42786683107274948</v>
      </c>
      <c r="AI7" s="147">
        <v>-0.45252774352651015</v>
      </c>
      <c r="AJ7" s="152">
        <v>-0.56473489519112186</v>
      </c>
    </row>
    <row r="8" spans="2:36" ht="24" customHeight="1">
      <c r="B8" s="47" t="s">
        <v>71</v>
      </c>
      <c r="C8" s="141">
        <v>9.2726190476190471</v>
      </c>
      <c r="D8" s="142">
        <v>8.4061597690086618</v>
      </c>
      <c r="E8" s="142">
        <v>9.3425196850393704</v>
      </c>
      <c r="F8" s="142">
        <v>10.032403240324033</v>
      </c>
      <c r="G8" s="143">
        <v>12.212785388127854</v>
      </c>
      <c r="J8" s="43" t="s">
        <v>83</v>
      </c>
      <c r="K8" s="191" t="s">
        <v>96</v>
      </c>
      <c r="L8" s="45">
        <v>0</v>
      </c>
      <c r="M8" s="147">
        <v>7.4770258980785265E-2</v>
      </c>
      <c r="N8" s="147">
        <v>0.10672514619883056</v>
      </c>
      <c r="O8" s="147">
        <v>1.6290726817042689E-2</v>
      </c>
      <c r="P8" s="147">
        <v>-5.1378446115288079E-2</v>
      </c>
      <c r="Q8" s="147">
        <v>-8.0200501253132717E-2</v>
      </c>
      <c r="R8" s="147">
        <v>0.19172932330827086</v>
      </c>
      <c r="S8" s="147">
        <v>0.63450292397660846</v>
      </c>
      <c r="T8" s="147">
        <v>1.0223475355054301</v>
      </c>
      <c r="U8" s="147">
        <v>1.0279866332497911</v>
      </c>
      <c r="V8" s="147">
        <v>1.2105263157894739</v>
      </c>
      <c r="W8" s="147">
        <v>0.95927318295739372</v>
      </c>
      <c r="X8" s="147">
        <v>0.44214703425229751</v>
      </c>
      <c r="Y8" s="147">
        <v>0.43734335839599003</v>
      </c>
      <c r="Z8" s="147">
        <v>0.65914786967418548</v>
      </c>
      <c r="AA8" s="147">
        <v>0.66311612364243966</v>
      </c>
      <c r="AB8" s="147">
        <v>0.84440267335004227</v>
      </c>
      <c r="AC8" s="147">
        <v>1.1929824561403515</v>
      </c>
      <c r="AD8" s="147">
        <v>1.0154553049289894</v>
      </c>
      <c r="AE8" s="147">
        <v>0.96407685881370142</v>
      </c>
      <c r="AF8" s="147">
        <v>1.1294903926482878</v>
      </c>
      <c r="AG8" s="147">
        <v>1.3354218880534678</v>
      </c>
      <c r="AH8" s="147">
        <v>1.1370091896407692</v>
      </c>
      <c r="AI8" s="147">
        <v>1.2201336675020893</v>
      </c>
      <c r="AJ8" s="152">
        <v>0.92293233082706805</v>
      </c>
    </row>
    <row r="9" spans="2:36" ht="24" customHeight="1">
      <c r="B9" s="47" t="s">
        <v>72</v>
      </c>
      <c r="C9" s="141">
        <v>3.7703164206426183</v>
      </c>
      <c r="D9" s="142">
        <v>3.4785189731001331</v>
      </c>
      <c r="E9" s="142">
        <v>3.6797793710954325</v>
      </c>
      <c r="F9" s="142">
        <v>3.840654818623364</v>
      </c>
      <c r="G9" s="143">
        <v>4.0330621145355936</v>
      </c>
      <c r="J9" s="44" t="s">
        <v>84</v>
      </c>
      <c r="K9" s="190" t="s">
        <v>98</v>
      </c>
      <c r="L9" s="42">
        <v>0</v>
      </c>
      <c r="M9" s="147">
        <v>-0.31336405529953915</v>
      </c>
      <c r="N9" s="147">
        <v>-7.373271889400923E-2</v>
      </c>
      <c r="O9" s="147">
        <v>-0.17050691244239624</v>
      </c>
      <c r="P9" s="147">
        <v>9.2165898617511122E-3</v>
      </c>
      <c r="Q9" s="147">
        <v>0.12903225806451624</v>
      </c>
      <c r="R9" s="147">
        <v>1.7281105990783363E-2</v>
      </c>
      <c r="S9" s="147">
        <v>-0.1105990783410139</v>
      </c>
      <c r="T9" s="147">
        <v>5.0691244239631228E-2</v>
      </c>
      <c r="U9" s="147">
        <v>8.5253456221198176E-2</v>
      </c>
      <c r="V9" s="147">
        <v>6.9124423963133452E-2</v>
      </c>
      <c r="W9" s="147">
        <v>2.3041474654377891E-2</v>
      </c>
      <c r="X9" s="147">
        <v>-0.18663594470046097</v>
      </c>
      <c r="Y9" s="147">
        <v>-0.16359447004608307</v>
      </c>
      <c r="Z9" s="147">
        <v>0.39400921658986165</v>
      </c>
      <c r="AJ9" s="41"/>
    </row>
    <row r="10" spans="2:36" ht="24" customHeight="1" thickBot="1">
      <c r="B10" s="63" t="s">
        <v>75</v>
      </c>
      <c r="C10" s="141">
        <v>0.99135024190001464</v>
      </c>
      <c r="D10" s="142">
        <v>1.0228823303947874</v>
      </c>
      <c r="E10" s="142">
        <v>0.97083664188262475</v>
      </c>
      <c r="F10" s="142">
        <v>0.9112879282702927</v>
      </c>
      <c r="G10" s="143">
        <v>1.0081774290887144</v>
      </c>
      <c r="J10" s="43" t="s">
        <v>84</v>
      </c>
      <c r="K10" s="190" t="s">
        <v>96</v>
      </c>
      <c r="L10" s="42">
        <v>0</v>
      </c>
      <c r="M10" s="147">
        <v>-3.3309196234613259E-3</v>
      </c>
      <c r="N10" s="147">
        <v>0.15047067342505427</v>
      </c>
      <c r="O10" s="147">
        <v>0.1532223026792181</v>
      </c>
      <c r="P10" s="147">
        <v>0.27892831281679986</v>
      </c>
      <c r="Q10" s="147">
        <v>0.52063721940622787</v>
      </c>
      <c r="R10" s="147">
        <v>0.39753801593048554</v>
      </c>
      <c r="S10" s="147">
        <v>0.36191165821868254</v>
      </c>
      <c r="T10" s="147">
        <v>0.47661115133960918</v>
      </c>
      <c r="U10" s="147">
        <v>0.61940622737147022</v>
      </c>
      <c r="V10" s="147">
        <v>0.48182476466328783</v>
      </c>
      <c r="W10" s="147">
        <v>0.53946415640839995</v>
      </c>
      <c r="X10" s="147">
        <v>0.33338160753077495</v>
      </c>
      <c r="Y10" s="147">
        <v>0.30340333091962357</v>
      </c>
      <c r="Z10" s="147">
        <v>0.63099203475742249</v>
      </c>
      <c r="AA10" s="153"/>
      <c r="AB10" s="153"/>
      <c r="AC10" s="153"/>
      <c r="AD10" s="153"/>
      <c r="AE10" s="153"/>
      <c r="AF10" s="153"/>
      <c r="AG10" s="153"/>
      <c r="AH10" s="153"/>
      <c r="AI10" s="153"/>
      <c r="AJ10" s="154"/>
    </row>
    <row r="11" spans="2:36" ht="24" customHeight="1" thickBot="1">
      <c r="B11" s="47" t="s">
        <v>76</v>
      </c>
      <c r="C11" s="141">
        <v>4.1238768596258657</v>
      </c>
      <c r="D11" s="142">
        <v>3.693974005513982</v>
      </c>
      <c r="E11" s="142">
        <v>3.6321099760373312</v>
      </c>
      <c r="F11" s="142">
        <v>4.0519740718915731</v>
      </c>
      <c r="G11" s="143">
        <v>4.7266195524146051</v>
      </c>
      <c r="J11" s="216" t="s">
        <v>58</v>
      </c>
      <c r="K11" s="217"/>
      <c r="L11" s="40">
        <v>0</v>
      </c>
      <c r="M11" s="39">
        <f t="shared" ref="M11:AJ11" si="0">AVERAGE(M3:M10)</f>
        <v>-4.3500513825303358E-2</v>
      </c>
      <c r="N11" s="39">
        <f t="shared" si="0"/>
        <v>6.4861375735732751E-3</v>
      </c>
      <c r="O11" s="39">
        <f t="shared" si="0"/>
        <v>-3.6960906427484327E-2</v>
      </c>
      <c r="P11" s="39">
        <f t="shared" si="0"/>
        <v>-1.6122507564519453E-2</v>
      </c>
      <c r="Q11" s="39">
        <f t="shared" si="0"/>
        <v>-1.0813239317336895E-2</v>
      </c>
      <c r="R11" s="39">
        <f t="shared" si="0"/>
        <v>-3.8155302604708549E-2</v>
      </c>
      <c r="S11" s="39">
        <f t="shared" si="0"/>
        <v>1.3757757799252465E-2</v>
      </c>
      <c r="T11" s="39">
        <f t="shared" si="0"/>
        <v>0.13354744489907144</v>
      </c>
      <c r="U11" s="39">
        <f t="shared" si="0"/>
        <v>0.16790189907034819</v>
      </c>
      <c r="V11" s="39">
        <f t="shared" si="0"/>
        <v>0.2383140256108314</v>
      </c>
      <c r="W11" s="39">
        <f t="shared" si="0"/>
        <v>0.21795570406383286</v>
      </c>
      <c r="X11" s="39">
        <f t="shared" si="0"/>
        <v>5.2989097752497286E-2</v>
      </c>
      <c r="Y11" s="39">
        <f t="shared" si="0"/>
        <v>4.5449879326160667E-2</v>
      </c>
      <c r="Z11" s="39">
        <f t="shared" si="0"/>
        <v>0.22387776184033706</v>
      </c>
      <c r="AA11" s="39">
        <f t="shared" si="0"/>
        <v>0.16045179219004554</v>
      </c>
      <c r="AB11" s="39">
        <f t="shared" si="0"/>
        <v>0.1657737055335049</v>
      </c>
      <c r="AC11" s="39">
        <f t="shared" si="0"/>
        <v>0.19751452018362237</v>
      </c>
      <c r="AD11" s="39">
        <f t="shared" si="0"/>
        <v>0.19529020726663671</v>
      </c>
      <c r="AE11" s="39">
        <f t="shared" si="0"/>
        <v>0.23574882029142055</v>
      </c>
      <c r="AF11" s="39">
        <f t="shared" si="0"/>
        <v>0.42069792520385957</v>
      </c>
      <c r="AG11" s="39">
        <f t="shared" si="0"/>
        <v>0.46364948755227697</v>
      </c>
      <c r="AH11" s="39">
        <f t="shared" si="0"/>
        <v>0.49072862258755851</v>
      </c>
      <c r="AI11" s="39">
        <f t="shared" si="0"/>
        <v>0.44849488084275507</v>
      </c>
      <c r="AJ11" s="38">
        <f t="shared" si="0"/>
        <v>0.24023554956431106</v>
      </c>
    </row>
    <row r="12" spans="2:36" ht="24" customHeight="1">
      <c r="B12" s="64" t="s">
        <v>74</v>
      </c>
      <c r="C12" s="141">
        <v>13.556373036388944</v>
      </c>
      <c r="D12" s="142">
        <v>9.7676914153132248</v>
      </c>
      <c r="E12" s="142">
        <v>7.625911625911626</v>
      </c>
      <c r="F12" s="142">
        <v>5.8448126232741622</v>
      </c>
      <c r="G12" s="143">
        <v>5.002486585525455</v>
      </c>
    </row>
    <row r="13" spans="2:36" ht="24" customHeight="1" thickBot="1">
      <c r="B13" s="65" t="s">
        <v>73</v>
      </c>
      <c r="C13" s="144">
        <v>18.641368664780035</v>
      </c>
      <c r="D13" s="145">
        <v>10.982680036463082</v>
      </c>
      <c r="E13" s="145">
        <v>6.6316073840612333</v>
      </c>
      <c r="F13" s="145">
        <v>4.9285293925325311</v>
      </c>
      <c r="G13" s="146">
        <v>3.8995348391118783</v>
      </c>
    </row>
    <row r="14" spans="2:36" ht="24" customHeight="1" thickBot="1"/>
    <row r="15" spans="2:36" ht="24" customHeight="1" thickBot="1">
      <c r="B15" s="51"/>
      <c r="C15" s="50">
        <v>2021</v>
      </c>
      <c r="D15" s="50">
        <v>2022</v>
      </c>
      <c r="E15" s="50">
        <v>2023</v>
      </c>
      <c r="F15" s="50">
        <v>2024</v>
      </c>
      <c r="G15" s="49">
        <v>2025</v>
      </c>
      <c r="J15" s="228" t="s">
        <v>59</v>
      </c>
      <c r="K15" s="229"/>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8</v>
      </c>
      <c r="D16" s="84">
        <v>8</v>
      </c>
      <c r="E16" s="84">
        <v>8</v>
      </c>
      <c r="F16" s="84">
        <v>8</v>
      </c>
      <c r="G16" s="85">
        <v>8</v>
      </c>
      <c r="J16" s="48" t="s">
        <v>81</v>
      </c>
      <c r="K16" s="197" t="s">
        <v>113</v>
      </c>
      <c r="L16" s="42">
        <v>0</v>
      </c>
      <c r="M16" s="147">
        <v>-0.33043478260869563</v>
      </c>
      <c r="N16" s="147">
        <v>-0.28160535117056851</v>
      </c>
      <c r="O16" s="147">
        <v>-0.44013377926421404</v>
      </c>
      <c r="P16" s="147">
        <v>-0.43678929765886287</v>
      </c>
      <c r="Q16" s="147">
        <v>-0.47892976588628766</v>
      </c>
      <c r="R16" s="147">
        <v>-0.5565217391304349</v>
      </c>
      <c r="S16" s="147">
        <v>-0.46220735785953193</v>
      </c>
      <c r="T16" s="147">
        <v>-0.46755852842809376</v>
      </c>
      <c r="U16" s="147">
        <v>-0.56655518394648841</v>
      </c>
      <c r="V16" s="147">
        <v>-0.46488294314381284</v>
      </c>
      <c r="W16" s="147">
        <v>-0.44481605351170572</v>
      </c>
      <c r="X16" s="147">
        <v>-0.5130434782608696</v>
      </c>
      <c r="Y16" s="147">
        <v>-0.52240802675585285</v>
      </c>
      <c r="Z16" s="147">
        <v>-0.54314381270903012</v>
      </c>
      <c r="AA16" s="147">
        <v>-0.40735785953177261</v>
      </c>
      <c r="AB16" s="147">
        <v>-0.48026755852842806</v>
      </c>
      <c r="AC16" s="147">
        <v>-0.6040133779264214</v>
      </c>
      <c r="AD16" s="147">
        <v>-0.69230769230769229</v>
      </c>
      <c r="AE16" s="147">
        <v>-0.74849498327759201</v>
      </c>
      <c r="AF16" s="147">
        <v>-0.70434782608695645</v>
      </c>
      <c r="AG16" s="147">
        <v>-0.62876254180602009</v>
      </c>
      <c r="AH16" s="147">
        <v>-0.64481605351170568</v>
      </c>
      <c r="AI16" s="147">
        <v>-0.56655518394648818</v>
      </c>
      <c r="AJ16" s="152">
        <v>-0.50367892976588624</v>
      </c>
    </row>
    <row r="17" spans="2:36" ht="24" customHeight="1">
      <c r="B17" s="47" t="s">
        <v>70</v>
      </c>
      <c r="C17" s="84">
        <v>6</v>
      </c>
      <c r="D17" s="84">
        <v>6</v>
      </c>
      <c r="E17" s="84">
        <v>6</v>
      </c>
      <c r="F17" s="84">
        <v>6</v>
      </c>
      <c r="G17" s="85">
        <v>7</v>
      </c>
      <c r="J17" s="43" t="s">
        <v>81</v>
      </c>
      <c r="K17" s="198" t="s">
        <v>104</v>
      </c>
      <c r="L17" s="45">
        <v>0</v>
      </c>
      <c r="M17" s="147">
        <v>2.8493150684931523E-2</v>
      </c>
      <c r="N17" s="147">
        <v>-2.082191780821907E-2</v>
      </c>
      <c r="O17" s="147">
        <v>-0.30520547945205467</v>
      </c>
      <c r="P17" s="147">
        <v>-0.24876712328767103</v>
      </c>
      <c r="Q17" s="147">
        <v>-0.28821917808219166</v>
      </c>
      <c r="R17" s="147">
        <v>-0.34027397260273973</v>
      </c>
      <c r="S17" s="147">
        <v>-0.22301369863013698</v>
      </c>
      <c r="T17" s="147">
        <v>-0.20931506849315062</v>
      </c>
      <c r="U17" s="147">
        <v>-0.30301369863013694</v>
      </c>
      <c r="V17" s="147">
        <v>-0.11561643835616431</v>
      </c>
      <c r="W17" s="147">
        <v>-0.12438356164383557</v>
      </c>
      <c r="X17" s="147">
        <v>-0.19178082191780821</v>
      </c>
      <c r="Y17" s="147">
        <v>-0.25260273972602731</v>
      </c>
      <c r="Z17" s="147">
        <v>-0.19013698630136988</v>
      </c>
      <c r="AA17" s="147">
        <v>-1.69863013698629E-2</v>
      </c>
      <c r="AB17" s="147">
        <v>-8.2191780821917693E-2</v>
      </c>
      <c r="AC17" s="147">
        <v>-0.19287671232876702</v>
      </c>
      <c r="AD17" s="147">
        <v>-0.29808219178082185</v>
      </c>
      <c r="AE17" s="147">
        <v>-0.38904109589041092</v>
      </c>
      <c r="AF17" s="147">
        <v>-0.31890410958904114</v>
      </c>
      <c r="AG17" s="147">
        <v>-0.24712328767123293</v>
      </c>
      <c r="AH17" s="147">
        <v>-0.22027397260273973</v>
      </c>
      <c r="AI17" s="147">
        <v>-0.14082191780821918</v>
      </c>
      <c r="AJ17" s="152">
        <v>-0.15890410958904111</v>
      </c>
    </row>
    <row r="18" spans="2:36" ht="24" customHeight="1">
      <c r="B18" s="47" t="s">
        <v>71</v>
      </c>
      <c r="C18" s="86">
        <v>3</v>
      </c>
      <c r="D18" s="86">
        <v>3</v>
      </c>
      <c r="E18" s="86">
        <v>1</v>
      </c>
      <c r="F18" s="86">
        <v>1</v>
      </c>
      <c r="G18" s="87">
        <v>1</v>
      </c>
      <c r="J18" s="44" t="s">
        <v>82</v>
      </c>
      <c r="K18" s="199" t="s">
        <v>113</v>
      </c>
      <c r="L18" s="46">
        <v>0</v>
      </c>
      <c r="M18" s="147">
        <v>-1.9230769230769273E-2</v>
      </c>
      <c r="N18" s="147">
        <v>-6.1813186813186816E-2</v>
      </c>
      <c r="O18" s="147">
        <v>0.21703296703296693</v>
      </c>
      <c r="P18" s="147">
        <v>6.7307692307692291E-2</v>
      </c>
      <c r="Q18" s="147">
        <v>-0.1868131868131867</v>
      </c>
      <c r="R18" s="147">
        <v>-0.36813186813186805</v>
      </c>
      <c r="S18" s="147">
        <v>-0.48351648351648346</v>
      </c>
      <c r="T18" s="147">
        <v>-0.39285714285714279</v>
      </c>
      <c r="U18" s="147">
        <v>-0.23763736263736257</v>
      </c>
      <c r="V18" s="147">
        <v>-0.27060439560439553</v>
      </c>
      <c r="W18" s="147">
        <v>-0.10989010989010972</v>
      </c>
      <c r="X18" s="147">
        <v>1.9230769230769384E-2</v>
      </c>
      <c r="Y18" s="147">
        <v>-0.21978021978021967</v>
      </c>
      <c r="Z18" s="147">
        <v>-0.23214285714285698</v>
      </c>
      <c r="AA18" s="147">
        <v>-0.16346153846153832</v>
      </c>
      <c r="AB18" s="147">
        <v>-0.11950549450549419</v>
      </c>
      <c r="AC18" s="147">
        <v>-0.30219780219780201</v>
      </c>
      <c r="AD18" s="147">
        <v>-9.8901098901098661E-2</v>
      </c>
      <c r="AE18" s="147">
        <v>-0.21703296703296671</v>
      </c>
      <c r="AF18" s="147">
        <v>-0.17994505494505464</v>
      </c>
      <c r="AG18" s="147">
        <v>7.9670329670330275E-2</v>
      </c>
      <c r="AH18" s="147">
        <v>-9.6153846153845701E-2</v>
      </c>
      <c r="AI18" s="147">
        <v>-0.10439560439560402</v>
      </c>
      <c r="AJ18" s="152">
        <v>-0.3379120879120876</v>
      </c>
    </row>
    <row r="19" spans="2:36" ht="24" customHeight="1">
      <c r="B19" s="47" t="s">
        <v>72</v>
      </c>
      <c r="C19" s="86">
        <v>5</v>
      </c>
      <c r="D19" s="86">
        <v>5</v>
      </c>
      <c r="E19" s="86">
        <v>4</v>
      </c>
      <c r="F19" s="86">
        <v>5</v>
      </c>
      <c r="G19" s="87">
        <v>4</v>
      </c>
      <c r="J19" s="43" t="s">
        <v>82</v>
      </c>
      <c r="K19" s="198" t="s">
        <v>104</v>
      </c>
      <c r="L19" s="45">
        <v>0</v>
      </c>
      <c r="M19" s="147">
        <v>-7.5254237288135517E-2</v>
      </c>
      <c r="N19" s="147">
        <v>2.0338983050847137E-3</v>
      </c>
      <c r="O19" s="147">
        <v>0.21627118644067811</v>
      </c>
      <c r="P19" s="147">
        <v>0.13559322033898313</v>
      </c>
      <c r="Q19" s="147">
        <v>-1.3559322033896981E-3</v>
      </c>
      <c r="R19" s="147">
        <v>-0.13152542372881337</v>
      </c>
      <c r="S19" s="147">
        <v>-0.24406779661016931</v>
      </c>
      <c r="T19" s="147">
        <v>-0.15728813559322019</v>
      </c>
      <c r="U19" s="147">
        <v>-6.847457627118636E-2</v>
      </c>
      <c r="V19" s="147">
        <v>-3.5254237288135482E-2</v>
      </c>
      <c r="W19" s="147">
        <v>6.3050847457627235E-2</v>
      </c>
      <c r="X19" s="147">
        <v>4.067796610169494E-2</v>
      </c>
      <c r="Y19" s="147">
        <v>-8.4067796610169498E-2</v>
      </c>
      <c r="Z19" s="147">
        <v>-0.22033898305084754</v>
      </c>
      <c r="AA19" s="147">
        <v>-0.23186440677966114</v>
      </c>
      <c r="AB19" s="147">
        <v>-0.27864406779661022</v>
      </c>
      <c r="AC19" s="147">
        <v>-0.28000000000000014</v>
      </c>
      <c r="AD19" s="147">
        <v>-0.23796610169491528</v>
      </c>
      <c r="AE19" s="147">
        <v>-9.152542372881356E-2</v>
      </c>
      <c r="AF19" s="147">
        <v>-1.5593220338983027E-2</v>
      </c>
      <c r="AG19" s="147">
        <v>0.18169491525423731</v>
      </c>
      <c r="AH19" s="147">
        <v>0.14711864406779673</v>
      </c>
      <c r="AI19" s="147">
        <v>-2.7118644067796627E-2</v>
      </c>
      <c r="AJ19" s="152">
        <v>-0.28474576271186436</v>
      </c>
    </row>
    <row r="20" spans="2:36" ht="24" customHeight="1">
      <c r="B20" s="63" t="s">
        <v>75</v>
      </c>
      <c r="C20" s="88">
        <v>7</v>
      </c>
      <c r="D20" s="89">
        <v>7</v>
      </c>
      <c r="E20" s="89">
        <v>7</v>
      </c>
      <c r="F20" s="89">
        <v>7</v>
      </c>
      <c r="G20" s="90">
        <v>6</v>
      </c>
      <c r="J20" s="44" t="s">
        <v>83</v>
      </c>
      <c r="K20" s="199" t="s">
        <v>113</v>
      </c>
      <c r="L20" s="46">
        <v>0</v>
      </c>
      <c r="M20" s="147">
        <v>-0.23450134770889486</v>
      </c>
      <c r="N20" s="147">
        <v>-0.24663072776280315</v>
      </c>
      <c r="O20" s="147">
        <v>-0.17924528301886788</v>
      </c>
      <c r="P20" s="147">
        <v>-0.1361185983827492</v>
      </c>
      <c r="Q20" s="147">
        <v>-0.3153638814016172</v>
      </c>
      <c r="R20" s="147">
        <v>-0.11590296495956875</v>
      </c>
      <c r="S20" s="147">
        <v>-0.2318059299191374</v>
      </c>
      <c r="T20" s="147">
        <v>-0.19541778975741242</v>
      </c>
      <c r="U20" s="147">
        <v>5.9299191374663218E-2</v>
      </c>
      <c r="V20" s="147">
        <v>-0.11320754716981118</v>
      </c>
      <c r="W20" s="147">
        <v>-0.12129380053908345</v>
      </c>
      <c r="X20" s="147">
        <v>-0.3504043126684635</v>
      </c>
      <c r="Y20" s="147">
        <v>-0.41239892183288396</v>
      </c>
      <c r="Z20" s="147">
        <v>-0.31940700808625333</v>
      </c>
      <c r="AA20" s="147">
        <v>-0.42991913746630717</v>
      </c>
      <c r="AB20" s="147">
        <v>-0.40161725067385434</v>
      </c>
      <c r="AC20" s="147">
        <v>-0.27897574123989222</v>
      </c>
      <c r="AD20" s="147">
        <v>-0.33692722371967654</v>
      </c>
      <c r="AE20" s="147">
        <v>-0.4339622641509433</v>
      </c>
      <c r="AF20" s="147">
        <v>-0.38409703504043113</v>
      </c>
      <c r="AG20" s="147">
        <v>-0.38679245283018859</v>
      </c>
      <c r="AH20" s="147">
        <v>-0.34366576819407002</v>
      </c>
      <c r="AI20" s="147">
        <v>-0.25336927223719674</v>
      </c>
      <c r="AJ20" s="152">
        <v>-0.4043126684636118</v>
      </c>
    </row>
    <row r="21" spans="2:36" ht="24" customHeight="1">
      <c r="B21" s="47" t="s">
        <v>76</v>
      </c>
      <c r="C21" s="91">
        <v>4</v>
      </c>
      <c r="D21" s="91">
        <v>4</v>
      </c>
      <c r="E21" s="84">
        <v>5</v>
      </c>
      <c r="F21" s="84">
        <v>4</v>
      </c>
      <c r="G21" s="85">
        <v>3</v>
      </c>
      <c r="J21" s="43" t="s">
        <v>83</v>
      </c>
      <c r="K21" s="198" t="s">
        <v>104</v>
      </c>
      <c r="L21" s="45">
        <v>0</v>
      </c>
      <c r="M21" s="147">
        <v>-0.11986970684039089</v>
      </c>
      <c r="N21" s="147">
        <v>-0.250814332247557</v>
      </c>
      <c r="O21" s="147">
        <v>-0.26188925081433223</v>
      </c>
      <c r="P21" s="147">
        <v>-0.30684039087947879</v>
      </c>
      <c r="Q21" s="147">
        <v>-0.30814332247557008</v>
      </c>
      <c r="R21" s="147">
        <v>-0.26775244299674261</v>
      </c>
      <c r="S21" s="147">
        <v>-0.12703583061889245</v>
      </c>
      <c r="T21" s="147">
        <v>-5.4071661237784951E-2</v>
      </c>
      <c r="U21" s="147">
        <v>0.13550488599348531</v>
      </c>
      <c r="V21" s="147">
        <v>0.10228013029315974</v>
      </c>
      <c r="W21" s="147">
        <v>-6.514657980456029E-2</v>
      </c>
      <c r="X21" s="147">
        <v>-0.31270358306188917</v>
      </c>
      <c r="Y21" s="147">
        <v>-0.35179153094462545</v>
      </c>
      <c r="Z21" s="147">
        <v>-0.25667752442996739</v>
      </c>
      <c r="AA21" s="147">
        <v>-0.2690553745928338</v>
      </c>
      <c r="AB21" s="147">
        <v>-0.25146579804560265</v>
      </c>
      <c r="AC21" s="147">
        <v>-0.12899022801302951</v>
      </c>
      <c r="AD21" s="147">
        <v>-0.26775244299674283</v>
      </c>
      <c r="AE21" s="147">
        <v>-0.14462540716612382</v>
      </c>
      <c r="AF21" s="147">
        <v>-8.4690553745928376E-2</v>
      </c>
      <c r="AG21" s="147">
        <v>-1.3029315960914056E-3</v>
      </c>
      <c r="AH21" s="147">
        <v>-0.13355048859934859</v>
      </c>
      <c r="AI21" s="147">
        <v>-0.14853420195439748</v>
      </c>
      <c r="AJ21" s="152">
        <v>-0.30032573289902287</v>
      </c>
    </row>
    <row r="22" spans="2:36" ht="24" customHeight="1">
      <c r="B22" s="64" t="s">
        <v>74</v>
      </c>
      <c r="C22" s="92">
        <v>2</v>
      </c>
      <c r="D22" s="92">
        <v>2</v>
      </c>
      <c r="E22" s="92">
        <v>2</v>
      </c>
      <c r="F22" s="92">
        <v>2</v>
      </c>
      <c r="G22" s="93">
        <v>2</v>
      </c>
      <c r="J22" s="44" t="s">
        <v>84</v>
      </c>
      <c r="K22" s="197" t="s">
        <v>113</v>
      </c>
      <c r="L22" s="42">
        <v>0</v>
      </c>
      <c r="M22" s="147">
        <v>-9.5435684647302899E-2</v>
      </c>
      <c r="N22" s="147">
        <v>4.7717842323651283E-2</v>
      </c>
      <c r="O22" s="147">
        <v>-0.12240663900414939</v>
      </c>
      <c r="P22" s="147">
        <v>-7.8838174273858974E-2</v>
      </c>
      <c r="Q22" s="147">
        <v>0.10995850622406622</v>
      </c>
      <c r="R22" s="147">
        <v>2.0746887966804906E-2</v>
      </c>
      <c r="S22" s="147">
        <v>-0.12863070539419086</v>
      </c>
      <c r="T22" s="147">
        <v>-5.1867219917012375E-2</v>
      </c>
      <c r="U22" s="147">
        <v>-5.6016597510373467E-2</v>
      </c>
      <c r="V22" s="147">
        <v>1.0373443983402453E-2</v>
      </c>
      <c r="W22" s="147">
        <v>0.14937759336099576</v>
      </c>
      <c r="X22" s="147">
        <v>-8.2987551867219955E-2</v>
      </c>
      <c r="Y22" s="147">
        <v>-3.319502074688796E-2</v>
      </c>
      <c r="Z22" s="147">
        <v>0.13278008298755184</v>
      </c>
      <c r="AJ22" s="41"/>
    </row>
    <row r="23" spans="2:36" ht="24" customHeight="1" thickBot="1">
      <c r="B23" s="65" t="s">
        <v>73</v>
      </c>
      <c r="C23" s="94">
        <v>1</v>
      </c>
      <c r="D23" s="94">
        <v>1</v>
      </c>
      <c r="E23" s="94">
        <v>3</v>
      </c>
      <c r="F23" s="94">
        <v>3</v>
      </c>
      <c r="G23" s="95">
        <v>5</v>
      </c>
      <c r="J23" s="43" t="s">
        <v>84</v>
      </c>
      <c r="K23" s="197" t="s">
        <v>104</v>
      </c>
      <c r="L23" s="42">
        <v>0</v>
      </c>
      <c r="M23" s="147">
        <v>-5.6872037914692086E-2</v>
      </c>
      <c r="N23" s="147">
        <v>8.1516587677725072E-2</v>
      </c>
      <c r="O23" s="147">
        <v>6.3507109004739437E-2</v>
      </c>
      <c r="P23" s="147">
        <v>8.9099526066350743E-2</v>
      </c>
      <c r="Q23" s="147">
        <v>0.26729857819905201</v>
      </c>
      <c r="R23" s="147">
        <v>6.5402843601895633E-2</v>
      </c>
      <c r="S23" s="147">
        <v>0.24454976303317544</v>
      </c>
      <c r="T23" s="147">
        <v>0.33175355450236976</v>
      </c>
      <c r="U23" s="147">
        <v>0.45308056872037894</v>
      </c>
      <c r="V23" s="147">
        <v>0.26066350710900466</v>
      </c>
      <c r="W23" s="147">
        <v>0.23886255924170596</v>
      </c>
      <c r="X23" s="147">
        <v>1.8009478672985635E-2</v>
      </c>
      <c r="Y23" s="147">
        <v>0.10995260663507089</v>
      </c>
      <c r="Z23" s="147">
        <v>0.38767772511848309</v>
      </c>
      <c r="AA23" s="153"/>
      <c r="AB23" s="153"/>
      <c r="AC23" s="153"/>
      <c r="AD23" s="153"/>
      <c r="AE23" s="153"/>
      <c r="AF23" s="153"/>
      <c r="AG23" s="153"/>
      <c r="AH23" s="153"/>
      <c r="AI23" s="153"/>
      <c r="AJ23" s="154"/>
    </row>
    <row r="24" spans="2:36" ht="24" customHeight="1" thickBot="1">
      <c r="J24" s="216" t="s">
        <v>58</v>
      </c>
      <c r="K24" s="217"/>
      <c r="L24" s="40">
        <v>0</v>
      </c>
      <c r="M24" s="39">
        <f>AVERAGE(M16:M23)</f>
        <v>-0.1128881769442437</v>
      </c>
      <c r="N24" s="39">
        <f t="shared" ref="N24:AJ24" si="1">AVERAGE(N16:N23)</f>
        <v>-9.1302148436984185E-2</v>
      </c>
      <c r="O24" s="39">
        <f t="shared" si="1"/>
        <v>-0.10150864613440422</v>
      </c>
      <c r="P24" s="39">
        <f t="shared" si="1"/>
        <v>-0.11441914322119934</v>
      </c>
      <c r="Q24" s="39">
        <f t="shared" si="1"/>
        <v>-0.15019602280489061</v>
      </c>
      <c r="R24" s="39">
        <f t="shared" si="1"/>
        <v>-0.21174483499768337</v>
      </c>
      <c r="S24" s="39">
        <f t="shared" si="1"/>
        <v>-0.20696600493942086</v>
      </c>
      <c r="T24" s="39">
        <f t="shared" si="1"/>
        <v>-0.14957774897268089</v>
      </c>
      <c r="U24" s="39">
        <f t="shared" si="1"/>
        <v>-7.2976596613377548E-2</v>
      </c>
      <c r="V24" s="39">
        <f t="shared" si="1"/>
        <v>-7.8281060022094062E-2</v>
      </c>
      <c r="W24" s="39">
        <f t="shared" si="1"/>
        <v>-5.1779888166120724E-2</v>
      </c>
      <c r="X24" s="39">
        <f t="shared" si="1"/>
        <v>-0.17162519172135007</v>
      </c>
      <c r="Y24" s="39">
        <f t="shared" si="1"/>
        <v>-0.22078645622019949</v>
      </c>
      <c r="Z24" s="39">
        <f t="shared" si="1"/>
        <v>-0.15517367045178626</v>
      </c>
      <c r="AA24" s="39">
        <f t="shared" si="1"/>
        <v>-0.25310743636699601</v>
      </c>
      <c r="AB24" s="39">
        <f t="shared" si="1"/>
        <v>-0.26894865839531784</v>
      </c>
      <c r="AC24" s="39">
        <f t="shared" si="1"/>
        <v>-0.29784231028431873</v>
      </c>
      <c r="AD24" s="39">
        <f t="shared" si="1"/>
        <v>-0.32198945856682459</v>
      </c>
      <c r="AE24" s="39">
        <f t="shared" si="1"/>
        <v>-0.3374470235411417</v>
      </c>
      <c r="AF24" s="39">
        <f t="shared" si="1"/>
        <v>-0.28126296662439915</v>
      </c>
      <c r="AG24" s="39">
        <f t="shared" si="1"/>
        <v>-0.16710266149649425</v>
      </c>
      <c r="AH24" s="39">
        <f t="shared" si="1"/>
        <v>-0.21522358083231885</v>
      </c>
      <c r="AI24" s="39">
        <f t="shared" si="1"/>
        <v>-0.20679913740161701</v>
      </c>
      <c r="AJ24" s="38">
        <f t="shared" si="1"/>
        <v>-0.33164654855691905</v>
      </c>
    </row>
    <row r="25" spans="2:36" ht="22.05" customHeigh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30" hidden="1"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1.05" hidden="1" customHeight="1">
      <c r="J27" s="206" t="s">
        <v>91</v>
      </c>
      <c r="K27" s="207"/>
      <c r="L27" s="158">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52">
        <v>0.15979569178065556</v>
      </c>
    </row>
    <row r="28" spans="2:36" ht="1.05" hidden="1"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0.38842044041457102</v>
      </c>
      <c r="AF28" s="147">
        <v>0.46797880909447076</v>
      </c>
      <c r="AG28" s="147">
        <v>0.43129381818358792</v>
      </c>
      <c r="AH28" s="147">
        <v>0.46996211042729796</v>
      </c>
      <c r="AI28" s="147">
        <v>0.44902672224777396</v>
      </c>
      <c r="AJ28" s="152">
        <v>0.36564289381915693</v>
      </c>
    </row>
    <row r="29" spans="2:36" ht="1.05" hidden="1"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52">
        <v>0.24249812060483178</v>
      </c>
    </row>
    <row r="30" spans="2:36" ht="1.05" hidden="1"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1.05" hidden="1"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0.20531230398190789</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8" spans="10:36" ht="35.25" hidden="1" thickBot="1">
      <c r="J68" s="214" t="s">
        <v>131</v>
      </c>
      <c r="K68" s="21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hidden="1">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hidden="1">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hidden="1">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7.25" hidden="1"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7.25" hidden="1"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J24:K24"/>
    <mergeCell ref="F1:H1"/>
    <mergeCell ref="B2:D3"/>
    <mergeCell ref="J2:K2"/>
    <mergeCell ref="J11:K11"/>
    <mergeCell ref="J15:K15"/>
    <mergeCell ref="J73:K73"/>
    <mergeCell ref="J26:K26"/>
    <mergeCell ref="J27:K27"/>
    <mergeCell ref="J28:K28"/>
    <mergeCell ref="J29:K29"/>
    <mergeCell ref="J30:K30"/>
    <mergeCell ref="J31:K31"/>
    <mergeCell ref="J68:K68"/>
    <mergeCell ref="J69:K69"/>
    <mergeCell ref="J70:K70"/>
    <mergeCell ref="J71:K71"/>
    <mergeCell ref="J72:K72"/>
  </mergeCells>
  <phoneticPr fontId="13" type="noConversion"/>
  <conditionalFormatting sqref="C16:G23">
    <cfRule type="cellIs" dxfId="110" priority="6" operator="between">
      <formula>7</formula>
      <formula>8</formula>
    </cfRule>
    <cfRule type="cellIs" dxfId="109" priority="7" operator="between">
      <formula>1</formula>
      <formula>2</formula>
    </cfRule>
  </conditionalFormatting>
  <conditionalFormatting sqref="F3">
    <cfRule type="cellIs" dxfId="108" priority="2" operator="equal">
      <formula>"GOOD"</formula>
    </cfRule>
    <cfRule type="cellIs" dxfId="107" priority="4" operator="equal">
      <formula>"GOOD"</formula>
    </cfRule>
    <cfRule type="top10" dxfId="106" priority="5" percent="1" rank="10"/>
  </conditionalFormatting>
  <conditionalFormatting sqref="G3">
    <cfRule type="cellIs" dxfId="105" priority="1" operator="equal">
      <formula>"BAD"</formula>
    </cfRule>
    <cfRule type="cellIs" dxfId="104" priority="3" operator="equal">
      <formula>"BAD"</formula>
    </cfRule>
  </conditionalFormatting>
  <pageMargins left="0.7" right="0.7" top="0.75" bottom="0.75" header="0.3" footer="0.3"/>
  <pageSetup paperSize="9" orientation="portrait" horizontalDpi="360" verticalDpi="36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4DA5E-7300-574F-AD1D-68ECED3A3FCB}">
  <dimension ref="B1:AJ73"/>
  <sheetViews>
    <sheetView topLeftCell="K58" zoomScale="61" zoomScaleNormal="55" workbookViewId="0">
      <selection activeCell="B15" sqref="B15:G2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18"/>
      <c r="G1" s="219"/>
      <c r="H1" s="219"/>
    </row>
    <row r="2" spans="2:36" ht="24" customHeight="1" thickBot="1">
      <c r="B2" s="261" t="s">
        <v>114</v>
      </c>
      <c r="C2" s="262"/>
      <c r="D2" s="263"/>
      <c r="J2" s="226" t="s">
        <v>60</v>
      </c>
      <c r="K2" s="227"/>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64"/>
      <c r="C3" s="265"/>
      <c r="D3" s="266"/>
      <c r="F3" s="188" t="s">
        <v>130</v>
      </c>
      <c r="G3" s="189" t="s">
        <v>129</v>
      </c>
      <c r="J3" s="48" t="s">
        <v>81</v>
      </c>
      <c r="K3" s="190" t="s">
        <v>101</v>
      </c>
      <c r="L3" s="42">
        <v>0</v>
      </c>
      <c r="M3" s="147">
        <v>-4.4342507645259932E-2</v>
      </c>
      <c r="N3" s="147">
        <v>-7.9701834862385357E-2</v>
      </c>
      <c r="O3" s="147">
        <v>-0.30358053007135566</v>
      </c>
      <c r="P3" s="147">
        <v>-0.28994648318042804</v>
      </c>
      <c r="Q3" s="147">
        <v>-0.40577217125382259</v>
      </c>
      <c r="R3" s="147">
        <v>-0.55058613659531086</v>
      </c>
      <c r="S3" s="147">
        <v>-0.53784403669724756</v>
      </c>
      <c r="T3" s="147">
        <v>-0.4912716615698266</v>
      </c>
      <c r="U3" s="147">
        <v>-0.58135830784913356</v>
      </c>
      <c r="V3" s="147">
        <v>-0.47024719673802229</v>
      </c>
      <c r="W3" s="147">
        <v>-0.36850152905198763</v>
      </c>
      <c r="X3" s="147">
        <v>-0.43361365953109066</v>
      </c>
      <c r="Y3" s="147">
        <v>-0.36015545361875634</v>
      </c>
      <c r="Z3" s="147">
        <v>-0.39965596330275222</v>
      </c>
      <c r="AA3" s="147">
        <v>-0.22241335372069315</v>
      </c>
      <c r="AB3" s="147">
        <v>-0.2382772680937818</v>
      </c>
      <c r="AC3" s="147">
        <v>-0.45291794087665638</v>
      </c>
      <c r="AD3" s="147">
        <v>-0.52395514780835883</v>
      </c>
      <c r="AE3" s="147">
        <v>-0.58741080530071343</v>
      </c>
      <c r="AF3" s="147">
        <v>-0.57581549439347612</v>
      </c>
      <c r="AG3" s="147">
        <v>-0.48318042813455653</v>
      </c>
      <c r="AH3" s="147">
        <v>-0.50949286442405706</v>
      </c>
      <c r="AI3" s="147">
        <v>-0.54466106014271154</v>
      </c>
      <c r="AJ3" s="152">
        <v>-0.52580275229357787</v>
      </c>
    </row>
    <row r="4" spans="2:36" ht="24" customHeight="1" thickBot="1">
      <c r="J4" s="43" t="s">
        <v>81</v>
      </c>
      <c r="K4" s="191" t="s">
        <v>115</v>
      </c>
      <c r="L4" s="45">
        <v>0</v>
      </c>
      <c r="M4" s="147">
        <v>-6.2403033959662069E-2</v>
      </c>
      <c r="N4" s="147">
        <v>-0.16807446991897945</v>
      </c>
      <c r="O4" s="147">
        <v>-0.30960179279434574</v>
      </c>
      <c r="P4" s="147">
        <v>-0.23582141010170654</v>
      </c>
      <c r="Q4" s="147">
        <v>-0.24909498362351312</v>
      </c>
      <c r="R4" s="147">
        <v>-0.32511635924840543</v>
      </c>
      <c r="S4" s="147">
        <v>-0.23358041716945344</v>
      </c>
      <c r="T4" s="147">
        <v>-0.18220996379934495</v>
      </c>
      <c r="U4" s="147">
        <v>-0.25978279606964327</v>
      </c>
      <c r="V4" s="147">
        <v>-0.11498017583175313</v>
      </c>
      <c r="W4" s="147">
        <v>-0.17548698500258586</v>
      </c>
      <c r="X4" s="147">
        <v>-0.27667643509739703</v>
      </c>
      <c r="Y4" s="147">
        <v>-0.25081882434063096</v>
      </c>
      <c r="Z4" s="147">
        <v>-0.22547836579900027</v>
      </c>
      <c r="AA4" s="147">
        <v>-8.3261506636786886E-2</v>
      </c>
      <c r="AB4" s="147">
        <v>-0.1616962592656439</v>
      </c>
      <c r="AC4" s="147">
        <v>-0.27650405102568532</v>
      </c>
      <c r="AD4" s="147">
        <v>-0.36079986209274273</v>
      </c>
      <c r="AE4" s="147">
        <v>-0.45474918117565943</v>
      </c>
      <c r="AF4" s="147">
        <v>-0.34821582485778313</v>
      </c>
      <c r="AG4" s="147">
        <v>-0.32649543182209972</v>
      </c>
      <c r="AH4" s="147">
        <v>-0.38234787105671453</v>
      </c>
      <c r="AI4" s="147">
        <v>-0.35545595586967771</v>
      </c>
      <c r="AJ4" s="152">
        <v>-0.25892087571108435</v>
      </c>
    </row>
    <row r="5" spans="2:36" ht="24" customHeight="1">
      <c r="B5" s="51"/>
      <c r="C5" s="50">
        <v>2021</v>
      </c>
      <c r="D5" s="50">
        <v>2022</v>
      </c>
      <c r="E5" s="50">
        <v>2023</v>
      </c>
      <c r="F5" s="50">
        <v>2024</v>
      </c>
      <c r="G5" s="49">
        <v>2025</v>
      </c>
      <c r="J5" s="44" t="s">
        <v>82</v>
      </c>
      <c r="K5" s="192" t="s">
        <v>102</v>
      </c>
      <c r="L5" s="46">
        <v>0</v>
      </c>
      <c r="M5" s="147">
        <v>-1.7460787215152318E-2</v>
      </c>
      <c r="N5" s="147">
        <v>4.0248594258656345E-2</v>
      </c>
      <c r="O5" s="147">
        <v>0.36134951168984908</v>
      </c>
      <c r="P5" s="147">
        <v>0.32465226398342706</v>
      </c>
      <c r="Q5" s="147">
        <v>0.23054158034921568</v>
      </c>
      <c r="R5" s="147">
        <v>6.1852619118082375E-2</v>
      </c>
      <c r="S5" s="147">
        <v>-0.10328499556081672</v>
      </c>
      <c r="T5" s="147">
        <v>6.2740455756140845E-2</v>
      </c>
      <c r="U5" s="147">
        <v>0.15773897602841069</v>
      </c>
      <c r="V5" s="147">
        <v>0.12636874815034038</v>
      </c>
      <c r="W5" s="147">
        <v>0.21633619414027816</v>
      </c>
      <c r="X5" s="147">
        <v>0.38088191772713809</v>
      </c>
      <c r="Y5" s="147">
        <v>0.44421426457531821</v>
      </c>
      <c r="Z5" s="147">
        <v>0.47173720035513478</v>
      </c>
      <c r="AA5" s="147">
        <v>0.3711157147084938</v>
      </c>
      <c r="AB5" s="147">
        <v>0.24326723882805568</v>
      </c>
      <c r="AC5" s="147">
        <v>0.23231725362533306</v>
      </c>
      <c r="AD5" s="147">
        <v>0.47292098253921311</v>
      </c>
      <c r="AE5" s="147">
        <v>0.65936667653151848</v>
      </c>
      <c r="AF5" s="147">
        <v>0.85646641018052705</v>
      </c>
      <c r="AG5" s="147">
        <v>0.75969221663214026</v>
      </c>
      <c r="AH5" s="147">
        <v>0.95679195028114905</v>
      </c>
      <c r="AI5" s="147">
        <v>0.74874223142941765</v>
      </c>
      <c r="AJ5" s="152">
        <v>0.27138206569991175</v>
      </c>
    </row>
    <row r="6" spans="2:36" ht="24" customHeight="1">
      <c r="B6" s="47" t="s">
        <v>69</v>
      </c>
      <c r="C6" s="170">
        <v>-6.6695669633893312E-2</v>
      </c>
      <c r="D6" s="171">
        <v>2.5933715872659331E-3</v>
      </c>
      <c r="E6" s="171">
        <v>1.5571720845646737E-2</v>
      </c>
      <c r="F6" s="171">
        <v>1.5605688882330155E-2</v>
      </c>
      <c r="G6" s="172">
        <v>2.031739058810609E-3</v>
      </c>
      <c r="H6" s="1"/>
      <c r="J6" s="43" t="s">
        <v>82</v>
      </c>
      <c r="K6" s="191" t="s">
        <v>99</v>
      </c>
      <c r="L6" s="45">
        <v>0</v>
      </c>
      <c r="M6" s="147">
        <v>-6.4026402640264046E-2</v>
      </c>
      <c r="N6" s="147">
        <v>-7.7227722772277185E-2</v>
      </c>
      <c r="O6" s="147">
        <v>0.11881188118811892</v>
      </c>
      <c r="P6" s="147">
        <v>6.1056105610561184E-2</v>
      </c>
      <c r="Q6" s="147">
        <v>-1.848184818481835E-2</v>
      </c>
      <c r="R6" s="147">
        <v>-0.15907590759075896</v>
      </c>
      <c r="S6" s="147">
        <v>-0.30561056105610551</v>
      </c>
      <c r="T6" s="147">
        <v>-0.20132013201320109</v>
      </c>
      <c r="U6" s="147">
        <v>-9.7689768976897406E-2</v>
      </c>
      <c r="V6" s="147">
        <v>-6.0396039603960117E-2</v>
      </c>
      <c r="W6" s="147">
        <v>7.7227722772277518E-2</v>
      </c>
      <c r="X6" s="147">
        <v>-8.2508250825082285E-2</v>
      </c>
      <c r="Y6" s="147">
        <v>-0.18052805280528039</v>
      </c>
      <c r="Z6" s="147">
        <v>-0.15181518151815154</v>
      </c>
      <c r="AA6" s="147">
        <v>-9.6039603960395792E-2</v>
      </c>
      <c r="AB6" s="147">
        <v>-0.14356435643564336</v>
      </c>
      <c r="AC6" s="147">
        <v>-8.0528052805280192E-2</v>
      </c>
      <c r="AD6" s="147">
        <v>-5.77557755775574E-2</v>
      </c>
      <c r="AE6" s="147">
        <v>-2.1782178217821357E-2</v>
      </c>
      <c r="AF6" s="147">
        <v>3.5313531353135641E-2</v>
      </c>
      <c r="AG6" s="147">
        <v>7.5577557755776015E-2</v>
      </c>
      <c r="AH6" s="147">
        <v>-1.2541254125412182E-2</v>
      </c>
      <c r="AI6" s="147">
        <v>-9.9009900990065791E-4</v>
      </c>
      <c r="AJ6" s="152">
        <v>7.9867986798680013E-2</v>
      </c>
    </row>
    <row r="7" spans="2:36" ht="24" customHeight="1">
      <c r="B7" s="47" t="s">
        <v>70</v>
      </c>
      <c r="C7" s="173">
        <v>6.1874604179860675E-2</v>
      </c>
      <c r="D7" s="174">
        <v>2.2633744855967079E-2</v>
      </c>
      <c r="E7" s="174">
        <v>1.7822237553179257E-2</v>
      </c>
      <c r="F7" s="174">
        <v>1.8557688470287746E-2</v>
      </c>
      <c r="G7" s="175">
        <v>1.8232935047752925E-2</v>
      </c>
      <c r="H7" s="1"/>
      <c r="J7" s="44" t="s">
        <v>83</v>
      </c>
      <c r="K7" s="192" t="s">
        <v>102</v>
      </c>
      <c r="L7" s="46">
        <v>0</v>
      </c>
      <c r="M7" s="147">
        <v>4.5863694813544909E-2</v>
      </c>
      <c r="N7" s="147">
        <v>6.5795113587655552E-2</v>
      </c>
      <c r="O7" s="147">
        <v>-7.0724389198455473E-3</v>
      </c>
      <c r="P7" s="147">
        <v>-9.9657093870552882E-2</v>
      </c>
      <c r="Q7" s="147">
        <v>-0.10758679811401617</v>
      </c>
      <c r="R7" s="147">
        <v>6.6652378911273402E-2</v>
      </c>
      <c r="S7" s="147">
        <v>0.2016716673810548</v>
      </c>
      <c r="T7" s="147">
        <v>0.34440634376339507</v>
      </c>
      <c r="U7" s="147">
        <v>0.2743249035576516</v>
      </c>
      <c r="V7" s="147">
        <v>0.4170595799399921</v>
      </c>
      <c r="W7" s="147">
        <v>0.26639519931418842</v>
      </c>
      <c r="X7" s="147">
        <v>-7.9297042434632981E-2</v>
      </c>
      <c r="Y7" s="147">
        <v>-0.12087441063008952</v>
      </c>
      <c r="Z7" s="147">
        <v>2.1860265752250863E-2</v>
      </c>
      <c r="AA7" s="147">
        <v>4.1577368195456987E-2</v>
      </c>
      <c r="AB7" s="147">
        <v>0.12687526789541415</v>
      </c>
      <c r="AC7" s="147">
        <v>0.31290184312044644</v>
      </c>
      <c r="AD7" s="147">
        <v>0.20595799399914339</v>
      </c>
      <c r="AE7" s="147">
        <v>0.21945992284612137</v>
      </c>
      <c r="AF7" s="147">
        <v>0.36648092584655001</v>
      </c>
      <c r="AG7" s="147">
        <v>0.47942563223317691</v>
      </c>
      <c r="AH7" s="147">
        <v>0.40462923274753626</v>
      </c>
      <c r="AI7" s="147">
        <v>0.40055722246035197</v>
      </c>
      <c r="AJ7" s="152">
        <v>0.42091727389627143</v>
      </c>
    </row>
    <row r="8" spans="2:36" ht="24" customHeight="1">
      <c r="B8" s="47" t="s">
        <v>71</v>
      </c>
      <c r="C8" s="173">
        <v>-4.9514563106796118E-2</v>
      </c>
      <c r="D8" s="174">
        <v>-1.1124473842453398E-2</v>
      </c>
      <c r="E8" s="174">
        <v>-3.0649205906937865E-3</v>
      </c>
      <c r="F8" s="174">
        <v>2.2516556291390728E-2</v>
      </c>
      <c r="G8" s="175">
        <v>-3.6788399570354458E-2</v>
      </c>
      <c r="J8" s="43" t="s">
        <v>83</v>
      </c>
      <c r="K8" s="191" t="s">
        <v>96</v>
      </c>
      <c r="L8" s="45">
        <v>0</v>
      </c>
      <c r="M8" s="147">
        <v>7.4770258980785265E-2</v>
      </c>
      <c r="N8" s="147">
        <v>0.10672514619883056</v>
      </c>
      <c r="O8" s="147">
        <v>1.6290726817042689E-2</v>
      </c>
      <c r="P8" s="147">
        <v>-5.1378446115288079E-2</v>
      </c>
      <c r="Q8" s="147">
        <v>-8.0200501253132717E-2</v>
      </c>
      <c r="R8" s="147">
        <v>0.19172932330827086</v>
      </c>
      <c r="S8" s="147">
        <v>0.63450292397660846</v>
      </c>
      <c r="T8" s="147">
        <v>1.0223475355054301</v>
      </c>
      <c r="U8" s="147">
        <v>1.0279866332497911</v>
      </c>
      <c r="V8" s="147">
        <v>1.2105263157894739</v>
      </c>
      <c r="W8" s="147">
        <v>0.95927318295739372</v>
      </c>
      <c r="X8" s="147">
        <v>0.44214703425229751</v>
      </c>
      <c r="Y8" s="147">
        <v>0.43734335839599003</v>
      </c>
      <c r="Z8" s="147">
        <v>0.65914786967418548</v>
      </c>
      <c r="AA8" s="147">
        <v>0.66311612364243966</v>
      </c>
      <c r="AB8" s="147">
        <v>0.84440267335004227</v>
      </c>
      <c r="AC8" s="147">
        <v>1.1929824561403515</v>
      </c>
      <c r="AD8" s="147">
        <v>1.0154553049289894</v>
      </c>
      <c r="AE8" s="147">
        <v>0.96407685881370142</v>
      </c>
      <c r="AF8" s="147">
        <v>1.1294903926482878</v>
      </c>
      <c r="AG8" s="147">
        <v>1.3354218880534678</v>
      </c>
      <c r="AH8" s="147">
        <v>1.1370091896407692</v>
      </c>
      <c r="AI8" s="147">
        <v>1.2201336675020893</v>
      </c>
      <c r="AJ8" s="152">
        <v>0.92293233082706805</v>
      </c>
    </row>
    <row r="9" spans="2:36" ht="24" customHeight="1">
      <c r="B9" s="47" t="s">
        <v>72</v>
      </c>
      <c r="C9" s="173">
        <v>8.891159370224426E-2</v>
      </c>
      <c r="D9" s="174">
        <v>1.0830517818656382E-3</v>
      </c>
      <c r="E9" s="174">
        <v>4.6853665368186317E-2</v>
      </c>
      <c r="F9" s="174">
        <v>-9.5693326684149302E-2</v>
      </c>
      <c r="G9" s="175">
        <v>-1.7147763409434358E-2</v>
      </c>
      <c r="J9" s="44" t="s">
        <v>84</v>
      </c>
      <c r="K9" s="190" t="s">
        <v>102</v>
      </c>
      <c r="L9" s="42">
        <v>0</v>
      </c>
      <c r="M9" s="147">
        <v>-4.5158286778398504E-2</v>
      </c>
      <c r="N9" s="147">
        <v>0.10986964618249528</v>
      </c>
      <c r="O9" s="147">
        <v>0.13128491620111715</v>
      </c>
      <c r="P9" s="147">
        <v>0.22392923649906882</v>
      </c>
      <c r="Q9" s="147">
        <v>0.42597765363128492</v>
      </c>
      <c r="R9" s="147">
        <v>0.30982309124767227</v>
      </c>
      <c r="S9" s="147">
        <v>0.32448789571694592</v>
      </c>
      <c r="T9" s="147">
        <v>0.48417132216014891</v>
      </c>
      <c r="U9" s="147">
        <v>0.60684357541899447</v>
      </c>
      <c r="V9" s="147">
        <v>0.52560521415270034</v>
      </c>
      <c r="W9" s="147">
        <v>0.52118249534450634</v>
      </c>
      <c r="X9" s="147">
        <v>0.54329608938547458</v>
      </c>
      <c r="Y9" s="147">
        <v>0.57844506517690863</v>
      </c>
      <c r="Z9" s="147">
        <v>0.89897579143389184</v>
      </c>
      <c r="AJ9" s="41"/>
    </row>
    <row r="10" spans="2:36" ht="24" customHeight="1" thickBot="1">
      <c r="B10" s="63" t="s">
        <v>75</v>
      </c>
      <c r="C10" s="173">
        <v>-3.0147424217326486E-2</v>
      </c>
      <c r="D10" s="174">
        <v>-3.9528281284123168E-2</v>
      </c>
      <c r="E10" s="174">
        <v>-3.2241289651586062E-2</v>
      </c>
      <c r="F10" s="174">
        <v>-7.3607069727341309E-2</v>
      </c>
      <c r="G10" s="175">
        <v>-6.1906863826969763E-2</v>
      </c>
      <c r="J10" s="43" t="s">
        <v>84</v>
      </c>
      <c r="K10" s="190" t="s">
        <v>96</v>
      </c>
      <c r="L10" s="42">
        <v>0</v>
      </c>
      <c r="M10" s="147">
        <v>-3.3309196234613259E-3</v>
      </c>
      <c r="N10" s="147">
        <v>0.15047067342505427</v>
      </c>
      <c r="O10" s="147">
        <v>0.1532223026792181</v>
      </c>
      <c r="P10" s="147">
        <v>0.27892831281679986</v>
      </c>
      <c r="Q10" s="147">
        <v>0.52063721940622787</v>
      </c>
      <c r="R10" s="147">
        <v>0.39753801593048554</v>
      </c>
      <c r="S10" s="147">
        <v>0.36191165821868254</v>
      </c>
      <c r="T10" s="147">
        <v>0.47661115133960918</v>
      </c>
      <c r="U10" s="147">
        <v>0.61940622737147022</v>
      </c>
      <c r="V10" s="147">
        <v>0.48182476466328783</v>
      </c>
      <c r="W10" s="147">
        <v>0.53946415640839995</v>
      </c>
      <c r="X10" s="147">
        <v>0.33338160753077495</v>
      </c>
      <c r="Y10" s="147">
        <v>0.30340333091962357</v>
      </c>
      <c r="Z10" s="147">
        <v>0.63099203475742249</v>
      </c>
      <c r="AA10" s="153"/>
      <c r="AB10" s="153"/>
      <c r="AC10" s="153"/>
      <c r="AD10" s="153"/>
      <c r="AE10" s="153"/>
      <c r="AF10" s="153"/>
      <c r="AG10" s="153"/>
      <c r="AH10" s="153"/>
      <c r="AI10" s="153"/>
      <c r="AJ10" s="154"/>
    </row>
    <row r="11" spans="2:36" ht="24" customHeight="1" thickBot="1">
      <c r="B11" s="47" t="s">
        <v>76</v>
      </c>
      <c r="C11" s="173">
        <v>7.7396373056994816E-2</v>
      </c>
      <c r="D11" s="174">
        <v>6.0128550694588433E-3</v>
      </c>
      <c r="E11" s="174">
        <v>2.2539804335315557E-2</v>
      </c>
      <c r="F11" s="174">
        <v>3.365999147848317E-2</v>
      </c>
      <c r="G11" s="175">
        <v>7.0229650958634733E-3</v>
      </c>
      <c r="J11" s="216" t="s">
        <v>58</v>
      </c>
      <c r="K11" s="217"/>
      <c r="L11" s="40">
        <v>0</v>
      </c>
      <c r="M11" s="39">
        <f t="shared" ref="M11:AJ11" si="0">AVERAGE(M3:M10)</f>
        <v>-1.4510998008483503E-2</v>
      </c>
      <c r="N11" s="39">
        <f t="shared" si="0"/>
        <v>1.8513143262381251E-2</v>
      </c>
      <c r="O11" s="39">
        <f t="shared" si="0"/>
        <v>2.0088072098724874E-2</v>
      </c>
      <c r="P11" s="39">
        <f t="shared" si="0"/>
        <v>2.6470310705235173E-2</v>
      </c>
      <c r="Q11" s="39">
        <f t="shared" si="0"/>
        <v>3.9502518869678191E-2</v>
      </c>
      <c r="R11" s="39">
        <f t="shared" si="0"/>
        <v>-8.9787186483634984E-4</v>
      </c>
      <c r="S11" s="39">
        <f t="shared" si="0"/>
        <v>4.2781766851208547E-2</v>
      </c>
      <c r="T11" s="39">
        <f t="shared" si="0"/>
        <v>0.18943438139279392</v>
      </c>
      <c r="U11" s="39">
        <f t="shared" si="0"/>
        <v>0.21843368034133048</v>
      </c>
      <c r="V11" s="39">
        <f t="shared" si="0"/>
        <v>0.26447015131525742</v>
      </c>
      <c r="W11" s="39">
        <f t="shared" si="0"/>
        <v>0.25448630461030886</v>
      </c>
      <c r="X11" s="39">
        <f t="shared" si="0"/>
        <v>0.10345140762593527</v>
      </c>
      <c r="Y11" s="39">
        <f t="shared" si="0"/>
        <v>0.1063786597091354</v>
      </c>
      <c r="Z11" s="39">
        <f t="shared" si="0"/>
        <v>0.23822045641912268</v>
      </c>
      <c r="AA11" s="39">
        <f t="shared" si="0"/>
        <v>0.11234912370475243</v>
      </c>
      <c r="AB11" s="39">
        <f t="shared" si="0"/>
        <v>0.11183454937974051</v>
      </c>
      <c r="AC11" s="39">
        <f t="shared" si="0"/>
        <v>0.15470858469641818</v>
      </c>
      <c r="AD11" s="39">
        <f t="shared" si="0"/>
        <v>0.1253039159981145</v>
      </c>
      <c r="AE11" s="39">
        <f t="shared" si="0"/>
        <v>0.12982688224952452</v>
      </c>
      <c r="AF11" s="39">
        <f t="shared" si="0"/>
        <v>0.24395332346287354</v>
      </c>
      <c r="AG11" s="39">
        <f t="shared" si="0"/>
        <v>0.30674023911965081</v>
      </c>
      <c r="AH11" s="39">
        <f t="shared" si="0"/>
        <v>0.26567473051054513</v>
      </c>
      <c r="AI11" s="39">
        <f t="shared" si="0"/>
        <v>0.24472100106159486</v>
      </c>
      <c r="AJ11" s="38">
        <f t="shared" si="0"/>
        <v>0.15172933820287818</v>
      </c>
    </row>
    <row r="12" spans="2:36" ht="24" customHeight="1">
      <c r="B12" s="64" t="s">
        <v>74</v>
      </c>
      <c r="C12" s="173">
        <v>-7.9727206300235443E-2</v>
      </c>
      <c r="D12" s="174">
        <v>1.6394171949727504E-2</v>
      </c>
      <c r="E12" s="174">
        <v>4.8736898933298585E-2</v>
      </c>
      <c r="F12" s="174">
        <v>5.5184620507158756E-2</v>
      </c>
      <c r="G12" s="175">
        <v>5.676316234975453E-2</v>
      </c>
    </row>
    <row r="13" spans="2:36" ht="24" customHeight="1" thickBot="1">
      <c r="B13" s="65" t="s">
        <v>73</v>
      </c>
      <c r="C13" s="176">
        <v>9.3648617010602363E-3</v>
      </c>
      <c r="D13" s="177">
        <v>2.6056700011861927E-2</v>
      </c>
      <c r="E13" s="177">
        <v>7.939980705622933E-2</v>
      </c>
      <c r="F13" s="177">
        <v>5.6080982431095175E-2</v>
      </c>
      <c r="G13" s="178">
        <v>7.8988068935041983E-2</v>
      </c>
    </row>
    <row r="14" spans="2:36" ht="24" customHeight="1" thickBot="1"/>
    <row r="15" spans="2:36" ht="24" customHeight="1" thickBot="1">
      <c r="B15" s="51"/>
      <c r="C15" s="50">
        <v>2021</v>
      </c>
      <c r="D15" s="50">
        <v>2022</v>
      </c>
      <c r="E15" s="50">
        <v>2023</v>
      </c>
      <c r="F15" s="50">
        <v>2024</v>
      </c>
      <c r="G15" s="49">
        <v>2025</v>
      </c>
      <c r="J15" s="228" t="s">
        <v>59</v>
      </c>
      <c r="K15" s="229"/>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7</v>
      </c>
      <c r="D16" s="84">
        <v>5</v>
      </c>
      <c r="E16" s="84">
        <v>6</v>
      </c>
      <c r="F16" s="84">
        <v>6</v>
      </c>
      <c r="G16" s="85">
        <v>5</v>
      </c>
      <c r="J16" s="48" t="s">
        <v>81</v>
      </c>
      <c r="K16" s="197" t="s">
        <v>104</v>
      </c>
      <c r="L16" s="42">
        <v>0</v>
      </c>
      <c r="M16" s="147">
        <v>2.8493150684931523E-2</v>
      </c>
      <c r="N16" s="147">
        <v>-2.082191780821907E-2</v>
      </c>
      <c r="O16" s="147">
        <v>-0.30520547945205467</v>
      </c>
      <c r="P16" s="147">
        <v>-0.24876712328767103</v>
      </c>
      <c r="Q16" s="147">
        <v>-0.28821917808219166</v>
      </c>
      <c r="R16" s="147">
        <v>-0.34027397260273973</v>
      </c>
      <c r="S16" s="147">
        <v>-0.22301369863013698</v>
      </c>
      <c r="T16" s="147">
        <v>-0.20931506849315062</v>
      </c>
      <c r="U16" s="147">
        <v>-0.30301369863013694</v>
      </c>
      <c r="V16" s="147">
        <v>-0.11561643835616431</v>
      </c>
      <c r="W16" s="147">
        <v>-0.12438356164383557</v>
      </c>
      <c r="X16" s="147">
        <v>-0.19178082191780821</v>
      </c>
      <c r="Y16" s="147">
        <v>-0.25260273972602731</v>
      </c>
      <c r="Z16" s="147">
        <v>-0.19013698630136988</v>
      </c>
      <c r="AA16" s="147">
        <v>-1.69863013698629E-2</v>
      </c>
      <c r="AB16" s="147">
        <v>-8.2191780821917693E-2</v>
      </c>
      <c r="AC16" s="147">
        <v>-0.19287671232876702</v>
      </c>
      <c r="AD16" s="147">
        <v>-0.29808219178082185</v>
      </c>
      <c r="AE16" s="147">
        <v>-0.38904109589041092</v>
      </c>
      <c r="AF16" s="147">
        <v>-0.31890410958904114</v>
      </c>
      <c r="AG16" s="147">
        <v>-0.24712328767123293</v>
      </c>
      <c r="AH16" s="147">
        <v>-0.22027397260273973</v>
      </c>
      <c r="AI16" s="147">
        <v>-0.14082191780821918</v>
      </c>
      <c r="AJ16" s="152">
        <v>-0.15890410958904111</v>
      </c>
    </row>
    <row r="17" spans="2:36" ht="24" customHeight="1">
      <c r="B17" s="47" t="s">
        <v>70</v>
      </c>
      <c r="C17" s="84">
        <v>3</v>
      </c>
      <c r="D17" s="84">
        <v>2</v>
      </c>
      <c r="E17" s="84">
        <v>5</v>
      </c>
      <c r="F17" s="84">
        <v>5</v>
      </c>
      <c r="G17" s="85">
        <v>3</v>
      </c>
      <c r="J17" s="43" t="s">
        <v>81</v>
      </c>
      <c r="K17" s="198" t="s">
        <v>96</v>
      </c>
      <c r="L17" s="45">
        <v>0</v>
      </c>
      <c r="M17" s="147">
        <v>8.9301121656600424E-2</v>
      </c>
      <c r="N17" s="147">
        <v>2.7394305435720412E-2</v>
      </c>
      <c r="O17" s="147">
        <v>-0.235979292493529</v>
      </c>
      <c r="P17" s="147">
        <v>-0.20729076790336509</v>
      </c>
      <c r="Q17" s="147">
        <v>-0.24482312338222623</v>
      </c>
      <c r="R17" s="147">
        <v>-0.29831751509922355</v>
      </c>
      <c r="S17" s="147">
        <v>-7.0750647109577458E-2</v>
      </c>
      <c r="T17" s="147">
        <v>-4.7238999137187432E-2</v>
      </c>
      <c r="U17" s="147">
        <v>-0.1867989646246766</v>
      </c>
      <c r="V17" s="147">
        <v>5.6082830025884212E-2</v>
      </c>
      <c r="W17" s="147">
        <v>0.12079378774805849</v>
      </c>
      <c r="X17" s="147">
        <v>-4.5513373597929396E-2</v>
      </c>
      <c r="Y17" s="147">
        <v>-5.5220017256255582E-2</v>
      </c>
      <c r="Z17" s="147">
        <v>2.3943054357204119E-2</v>
      </c>
      <c r="AA17" s="147">
        <v>0.18356341673856713</v>
      </c>
      <c r="AB17" s="147">
        <v>0.17148403796376144</v>
      </c>
      <c r="AC17" s="147">
        <v>7.441760138050002E-2</v>
      </c>
      <c r="AD17" s="147">
        <v>-8.7575496117342944E-2</v>
      </c>
      <c r="AE17" s="147">
        <v>-0.24482312338222634</v>
      </c>
      <c r="AF17" s="147">
        <v>-0.15012942191544465</v>
      </c>
      <c r="AG17" s="147">
        <v>-0.11000862812769663</v>
      </c>
      <c r="AH17" s="147">
        <v>-0.10742018981880963</v>
      </c>
      <c r="AI17" s="147">
        <v>-1.87661777394309E-2</v>
      </c>
      <c r="AJ17" s="152">
        <v>3.2786885245901232E-2</v>
      </c>
    </row>
    <row r="18" spans="2:36" ht="24" customHeight="1">
      <c r="B18" s="47" t="s">
        <v>71</v>
      </c>
      <c r="C18" s="86">
        <v>6</v>
      </c>
      <c r="D18" s="86">
        <v>7</v>
      </c>
      <c r="E18" s="86">
        <v>7</v>
      </c>
      <c r="F18" s="86">
        <v>4</v>
      </c>
      <c r="G18" s="87">
        <v>7</v>
      </c>
      <c r="J18" s="44" t="s">
        <v>82</v>
      </c>
      <c r="K18" s="199" t="s">
        <v>98</v>
      </c>
      <c r="L18" s="46">
        <v>0</v>
      </c>
      <c r="M18" s="147">
        <v>-3.5569105691056868E-2</v>
      </c>
      <c r="N18" s="147">
        <v>-0.16361788617886164</v>
      </c>
      <c r="O18" s="147">
        <v>-1.7276422764227584E-2</v>
      </c>
      <c r="P18" s="147">
        <v>-5.4878048780487743E-2</v>
      </c>
      <c r="Q18" s="147">
        <v>-0.36178861788617878</v>
      </c>
      <c r="R18" s="147">
        <v>-0.50813008130081294</v>
      </c>
      <c r="S18" s="147">
        <v>-0.65548780487804881</v>
      </c>
      <c r="T18" s="147">
        <v>-0.60264227642276413</v>
      </c>
      <c r="U18" s="147">
        <v>-0.44512195121951215</v>
      </c>
      <c r="V18" s="147">
        <v>-0.50508130081300806</v>
      </c>
      <c r="W18" s="147">
        <v>-0.2947154471544714</v>
      </c>
      <c r="X18" s="147">
        <v>-0.17581300813008116</v>
      </c>
      <c r="Y18" s="147">
        <v>-0.38617886178861771</v>
      </c>
      <c r="Z18" s="147">
        <v>-0.44410569105691045</v>
      </c>
      <c r="AA18" s="147">
        <v>-0.4989837398373983</v>
      </c>
      <c r="AB18" s="147">
        <v>-0.59949186991869907</v>
      </c>
      <c r="AC18" s="147">
        <v>-0.63109756097560976</v>
      </c>
      <c r="AD18" s="147">
        <v>-0.45630081300813008</v>
      </c>
      <c r="AE18" s="147">
        <v>-0.38211382113821135</v>
      </c>
      <c r="AF18" s="147">
        <v>-0.40752032520325199</v>
      </c>
      <c r="AG18" s="147">
        <v>-0.27743902439024382</v>
      </c>
      <c r="AH18" s="147">
        <v>-0.14329268292682917</v>
      </c>
      <c r="AI18" s="147">
        <v>-0.26829268292682917</v>
      </c>
      <c r="AJ18" s="152">
        <v>-0.55894308943089421</v>
      </c>
    </row>
    <row r="19" spans="2:36" ht="24" customHeight="1">
      <c r="B19" s="47" t="s">
        <v>72</v>
      </c>
      <c r="C19" s="86">
        <v>1</v>
      </c>
      <c r="D19" s="86">
        <v>6</v>
      </c>
      <c r="E19" s="86">
        <v>3</v>
      </c>
      <c r="F19" s="86">
        <v>8</v>
      </c>
      <c r="G19" s="87">
        <v>6</v>
      </c>
      <c r="J19" s="43" t="s">
        <v>82</v>
      </c>
      <c r="K19" s="198" t="s">
        <v>113</v>
      </c>
      <c r="L19" s="45">
        <v>0</v>
      </c>
      <c r="M19" s="147">
        <v>-1.9230769230769273E-2</v>
      </c>
      <c r="N19" s="147">
        <v>-6.1813186813186816E-2</v>
      </c>
      <c r="O19" s="147">
        <v>0.21703296703296693</v>
      </c>
      <c r="P19" s="147">
        <v>6.7307692307692291E-2</v>
      </c>
      <c r="Q19" s="147">
        <v>-0.1868131868131867</v>
      </c>
      <c r="R19" s="147">
        <v>-0.36813186813186805</v>
      </c>
      <c r="S19" s="147">
        <v>-0.48351648351648346</v>
      </c>
      <c r="T19" s="147">
        <v>-0.39285714285714279</v>
      </c>
      <c r="U19" s="147">
        <v>-0.23763736263736257</v>
      </c>
      <c r="V19" s="147">
        <v>-0.27060439560439553</v>
      </c>
      <c r="W19" s="147">
        <v>-0.10989010989010972</v>
      </c>
      <c r="X19" s="147">
        <v>1.9230769230769384E-2</v>
      </c>
      <c r="Y19" s="147">
        <v>-0.21978021978021967</v>
      </c>
      <c r="Z19" s="147">
        <v>-0.23214285714285698</v>
      </c>
      <c r="AA19" s="147">
        <v>-0.16346153846153832</v>
      </c>
      <c r="AB19" s="147">
        <v>-0.11950549450549419</v>
      </c>
      <c r="AC19" s="147">
        <v>-0.30219780219780201</v>
      </c>
      <c r="AD19" s="147">
        <v>-9.8901098901098661E-2</v>
      </c>
      <c r="AE19" s="147">
        <v>-0.21703296703296671</v>
      </c>
      <c r="AF19" s="147">
        <v>-0.17994505494505464</v>
      </c>
      <c r="AG19" s="147">
        <v>7.9670329670330275E-2</v>
      </c>
      <c r="AH19" s="147">
        <v>-9.6153846153845701E-2</v>
      </c>
      <c r="AI19" s="147">
        <v>-0.10439560439560402</v>
      </c>
      <c r="AJ19" s="152">
        <v>-0.3379120879120876</v>
      </c>
    </row>
    <row r="20" spans="2:36" ht="24" customHeight="1">
      <c r="B20" s="63" t="s">
        <v>75</v>
      </c>
      <c r="C20" s="88">
        <v>5</v>
      </c>
      <c r="D20" s="89">
        <v>8</v>
      </c>
      <c r="E20" s="89">
        <v>8</v>
      </c>
      <c r="F20" s="89">
        <v>7</v>
      </c>
      <c r="G20" s="90">
        <v>8</v>
      </c>
      <c r="J20" s="44" t="s">
        <v>83</v>
      </c>
      <c r="K20" s="199" t="s">
        <v>98</v>
      </c>
      <c r="L20" s="46">
        <v>0</v>
      </c>
      <c r="M20" s="147">
        <v>-0.25524044389642409</v>
      </c>
      <c r="N20" s="147">
        <v>-0.32552404438964244</v>
      </c>
      <c r="O20" s="147">
        <v>-0.39210850801479658</v>
      </c>
      <c r="P20" s="147">
        <v>-0.51405672009864367</v>
      </c>
      <c r="Q20" s="147">
        <v>-0.55240443896424174</v>
      </c>
      <c r="R20" s="147">
        <v>-0.34032059186189889</v>
      </c>
      <c r="S20" s="147">
        <v>-0.25030826140567197</v>
      </c>
      <c r="T20" s="147">
        <v>-0.28113440197287287</v>
      </c>
      <c r="U20" s="147">
        <v>-0.12330456226880371</v>
      </c>
      <c r="V20" s="147">
        <v>3.9457459926017568E-2</v>
      </c>
      <c r="W20" s="147">
        <v>-0.11220715166461126</v>
      </c>
      <c r="X20" s="147">
        <v>-0.46485819975339071</v>
      </c>
      <c r="Y20" s="147">
        <v>-0.6325524044389641</v>
      </c>
      <c r="Z20" s="147">
        <v>-0.50431565967940795</v>
      </c>
      <c r="AA20" s="147">
        <v>-0.55610357583230563</v>
      </c>
      <c r="AB20" s="147">
        <v>-0.45992601726263849</v>
      </c>
      <c r="AC20" s="147">
        <v>-0.39580764488286035</v>
      </c>
      <c r="AD20" s="147">
        <v>-0.45561035758323032</v>
      </c>
      <c r="AE20" s="147">
        <v>-0.52404438964241651</v>
      </c>
      <c r="AF20" s="147">
        <v>-0.43773119605425381</v>
      </c>
      <c r="AG20" s="147">
        <v>-0.41923551171393314</v>
      </c>
      <c r="AH20" s="147">
        <v>-0.42786683107274948</v>
      </c>
      <c r="AI20" s="147">
        <v>-0.45252774352651015</v>
      </c>
      <c r="AJ20" s="152">
        <v>-0.56473489519112186</v>
      </c>
    </row>
    <row r="21" spans="2:36" ht="24" customHeight="1">
      <c r="B21" s="47" t="s">
        <v>76</v>
      </c>
      <c r="C21" s="91">
        <v>2</v>
      </c>
      <c r="D21" s="91">
        <v>4</v>
      </c>
      <c r="E21" s="84">
        <v>4</v>
      </c>
      <c r="F21" s="84">
        <v>3</v>
      </c>
      <c r="G21" s="85">
        <v>4</v>
      </c>
      <c r="J21" s="43" t="s">
        <v>83</v>
      </c>
      <c r="K21" s="198" t="s">
        <v>113</v>
      </c>
      <c r="L21" s="45">
        <v>0</v>
      </c>
      <c r="M21" s="147">
        <v>-0.23450134770889486</v>
      </c>
      <c r="N21" s="147">
        <v>-0.24663072776280315</v>
      </c>
      <c r="O21" s="147">
        <v>-0.17924528301886788</v>
      </c>
      <c r="P21" s="147">
        <v>-0.1361185983827492</v>
      </c>
      <c r="Q21" s="147">
        <v>-0.3153638814016172</v>
      </c>
      <c r="R21" s="147">
        <v>-0.11590296495956875</v>
      </c>
      <c r="S21" s="147">
        <v>-0.2318059299191374</v>
      </c>
      <c r="T21" s="147">
        <v>-0.19541778975741242</v>
      </c>
      <c r="U21" s="147">
        <v>5.9299191374663218E-2</v>
      </c>
      <c r="V21" s="147">
        <v>-0.11320754716981118</v>
      </c>
      <c r="W21" s="147">
        <v>-0.12129380053908345</v>
      </c>
      <c r="X21" s="147">
        <v>-0.3504043126684635</v>
      </c>
      <c r="Y21" s="147">
        <v>-0.41239892183288396</v>
      </c>
      <c r="Z21" s="147">
        <v>-0.31940700808625333</v>
      </c>
      <c r="AA21" s="147">
        <v>-0.42991913746630717</v>
      </c>
      <c r="AB21" s="147">
        <v>-0.40161725067385434</v>
      </c>
      <c r="AC21" s="147">
        <v>-0.27897574123989222</v>
      </c>
      <c r="AD21" s="147">
        <v>-0.33692722371967654</v>
      </c>
      <c r="AE21" s="147">
        <v>-0.4339622641509433</v>
      </c>
      <c r="AF21" s="147">
        <v>-0.38409703504043113</v>
      </c>
      <c r="AG21" s="147">
        <v>-0.38679245283018859</v>
      </c>
      <c r="AH21" s="147">
        <v>-0.34366576819407002</v>
      </c>
      <c r="AI21" s="147">
        <v>-0.25336927223719674</v>
      </c>
      <c r="AJ21" s="152">
        <v>-0.4043126684636118</v>
      </c>
    </row>
    <row r="22" spans="2:36" ht="24" customHeight="1">
      <c r="B22" s="64" t="s">
        <v>74</v>
      </c>
      <c r="C22" s="92">
        <v>8</v>
      </c>
      <c r="D22" s="92">
        <v>3</v>
      </c>
      <c r="E22" s="92">
        <v>2</v>
      </c>
      <c r="F22" s="92">
        <v>2</v>
      </c>
      <c r="G22" s="93">
        <v>2</v>
      </c>
      <c r="J22" s="44" t="s">
        <v>84</v>
      </c>
      <c r="K22" s="197" t="s">
        <v>113</v>
      </c>
      <c r="L22" s="42">
        <v>0</v>
      </c>
      <c r="M22" s="147">
        <v>-9.5435684647302899E-2</v>
      </c>
      <c r="N22" s="147">
        <v>4.7717842323651283E-2</v>
      </c>
      <c r="O22" s="147">
        <v>-0.12240663900414939</v>
      </c>
      <c r="P22" s="147">
        <v>-7.8838174273858974E-2</v>
      </c>
      <c r="Q22" s="147">
        <v>0.10995850622406622</v>
      </c>
      <c r="R22" s="147">
        <v>2.0746887966804906E-2</v>
      </c>
      <c r="S22" s="147">
        <v>-0.12863070539419086</v>
      </c>
      <c r="T22" s="147">
        <v>-5.1867219917012375E-2</v>
      </c>
      <c r="U22" s="147">
        <v>-5.6016597510373467E-2</v>
      </c>
      <c r="V22" s="147">
        <v>1.0373443983402453E-2</v>
      </c>
      <c r="W22" s="147">
        <v>0.14937759336099576</v>
      </c>
      <c r="X22" s="147">
        <v>-8.2987551867219955E-2</v>
      </c>
      <c r="Y22" s="147">
        <v>-3.319502074688796E-2</v>
      </c>
      <c r="Z22" s="147">
        <v>0.13278008298755184</v>
      </c>
      <c r="AJ22" s="41"/>
    </row>
    <row r="23" spans="2:36" ht="24" customHeight="1" thickBot="1">
      <c r="B23" s="65" t="s">
        <v>73</v>
      </c>
      <c r="C23" s="94">
        <v>4</v>
      </c>
      <c r="D23" s="94">
        <v>1</v>
      </c>
      <c r="E23" s="94">
        <v>1</v>
      </c>
      <c r="F23" s="94">
        <v>1</v>
      </c>
      <c r="G23" s="95">
        <v>1</v>
      </c>
      <c r="J23" s="43" t="s">
        <v>84</v>
      </c>
      <c r="K23" s="197" t="s">
        <v>101</v>
      </c>
      <c r="L23" s="42">
        <v>0</v>
      </c>
      <c r="M23" s="147">
        <v>-9.1384317521781222E-2</v>
      </c>
      <c r="N23" s="147">
        <v>7.6089060987415413E-2</v>
      </c>
      <c r="O23" s="147">
        <v>6.3891577928364196E-2</v>
      </c>
      <c r="P23" s="147">
        <v>-1.9361084220703706E-4</v>
      </c>
      <c r="Q23" s="147">
        <v>0.21316553727008714</v>
      </c>
      <c r="R23" s="147">
        <v>0.17657308809293326</v>
      </c>
      <c r="S23" s="147">
        <v>0.20387221684414314</v>
      </c>
      <c r="T23" s="147">
        <v>0.4714424007744431</v>
      </c>
      <c r="U23" s="147">
        <v>0.65091965150048381</v>
      </c>
      <c r="V23" s="147">
        <v>0.71597289448209067</v>
      </c>
      <c r="W23" s="147">
        <v>0.97773475314617597</v>
      </c>
      <c r="X23" s="147">
        <v>0.56902226524685373</v>
      </c>
      <c r="Y23" s="147">
        <v>0.46447241045498533</v>
      </c>
      <c r="Z23" s="147">
        <v>0.77366892545982546</v>
      </c>
      <c r="AA23" s="153"/>
      <c r="AB23" s="153"/>
      <c r="AC23" s="153"/>
      <c r="AD23" s="153"/>
      <c r="AE23" s="153"/>
      <c r="AF23" s="153"/>
      <c r="AG23" s="153"/>
      <c r="AH23" s="153"/>
      <c r="AI23" s="153"/>
      <c r="AJ23" s="154"/>
    </row>
    <row r="24" spans="2:36" ht="24" customHeight="1" thickBot="1">
      <c r="J24" s="216" t="s">
        <v>58</v>
      </c>
      <c r="K24" s="217"/>
      <c r="L24" s="40">
        <v>0</v>
      </c>
      <c r="M24" s="39">
        <f>AVERAGE(M16:M23)</f>
        <v>-7.6695924544337157E-2</v>
      </c>
      <c r="N24" s="39">
        <f t="shared" ref="N24:AJ24" si="1">AVERAGE(N16:N23)</f>
        <v>-8.3400819275740751E-2</v>
      </c>
      <c r="O24" s="39">
        <f t="shared" si="1"/>
        <v>-0.12141213497328673</v>
      </c>
      <c r="P24" s="39">
        <f t="shared" si="1"/>
        <v>-0.14660441890766129</v>
      </c>
      <c r="Q24" s="39">
        <f t="shared" si="1"/>
        <v>-0.20328604787943613</v>
      </c>
      <c r="R24" s="39">
        <f t="shared" si="1"/>
        <v>-0.22171962723704675</v>
      </c>
      <c r="S24" s="39">
        <f t="shared" si="1"/>
        <v>-0.22995516425113799</v>
      </c>
      <c r="T24" s="39">
        <f t="shared" si="1"/>
        <v>-0.16362881222288744</v>
      </c>
      <c r="U24" s="39">
        <f t="shared" si="1"/>
        <v>-8.0209286751964814E-2</v>
      </c>
      <c r="V24" s="39">
        <f t="shared" si="1"/>
        <v>-2.2827881690748023E-2</v>
      </c>
      <c r="W24" s="39">
        <f t="shared" si="1"/>
        <v>6.0677007920389853E-2</v>
      </c>
      <c r="X24" s="39">
        <f t="shared" si="1"/>
        <v>-9.0388029182158713E-2</v>
      </c>
      <c r="Y24" s="39">
        <f t="shared" si="1"/>
        <v>-0.19093197188935884</v>
      </c>
      <c r="Z24" s="39">
        <f t="shared" si="1"/>
        <v>-9.4964517432777174E-2</v>
      </c>
      <c r="AA24" s="39">
        <f t="shared" si="1"/>
        <v>-0.24698181270480754</v>
      </c>
      <c r="AB24" s="39">
        <f t="shared" si="1"/>
        <v>-0.24854139586980706</v>
      </c>
      <c r="AC24" s="39">
        <f t="shared" si="1"/>
        <v>-0.28775631004073854</v>
      </c>
      <c r="AD24" s="39">
        <f t="shared" si="1"/>
        <v>-0.28889953018505005</v>
      </c>
      <c r="AE24" s="39">
        <f t="shared" si="1"/>
        <v>-0.36516961020619582</v>
      </c>
      <c r="AF24" s="39">
        <f t="shared" si="1"/>
        <v>-0.31305452379124621</v>
      </c>
      <c r="AG24" s="39">
        <f t="shared" si="1"/>
        <v>-0.22682142917716078</v>
      </c>
      <c r="AH24" s="39">
        <f t="shared" si="1"/>
        <v>-0.22311221512817395</v>
      </c>
      <c r="AI24" s="39">
        <f t="shared" si="1"/>
        <v>-0.2063622331056317</v>
      </c>
      <c r="AJ24" s="38">
        <f t="shared" si="1"/>
        <v>-0.33200332755680922</v>
      </c>
    </row>
    <row r="25" spans="2:36" ht="20" customHeigh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30" hidden="1"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1.05" hidden="1" customHeight="1">
      <c r="J27" s="206" t="s">
        <v>91</v>
      </c>
      <c r="K27" s="207"/>
      <c r="L27" s="158">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52">
        <v>0.15979569178065556</v>
      </c>
    </row>
    <row r="28" spans="2:36" ht="1.05" hidden="1"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0.38842044041457102</v>
      </c>
      <c r="AF28" s="147">
        <v>0.46797880909447076</v>
      </c>
      <c r="AG28" s="147">
        <v>0.43129381818358792</v>
      </c>
      <c r="AH28" s="147">
        <v>0.46996211042729796</v>
      </c>
      <c r="AI28" s="147">
        <v>0.44902672224777396</v>
      </c>
      <c r="AJ28" s="152">
        <v>0.36564289381915693</v>
      </c>
    </row>
    <row r="29" spans="2:36" ht="1.05" hidden="1"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52">
        <v>0.24249812060483178</v>
      </c>
    </row>
    <row r="30" spans="2:36" ht="1.05" hidden="1"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1.05" hidden="1"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0.20531230398190789</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8" spans="10:36" ht="35.25" hidden="1" thickBot="1">
      <c r="J68" s="214" t="s">
        <v>131</v>
      </c>
      <c r="K68" s="21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hidden="1">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hidden="1">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hidden="1">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7.25" hidden="1"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7.25" hidden="1"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J24:K24"/>
    <mergeCell ref="F1:H1"/>
    <mergeCell ref="B2:D3"/>
    <mergeCell ref="J2:K2"/>
    <mergeCell ref="J11:K11"/>
    <mergeCell ref="J15:K15"/>
    <mergeCell ref="J73:K73"/>
    <mergeCell ref="J26:K26"/>
    <mergeCell ref="J27:K27"/>
    <mergeCell ref="J28:K28"/>
    <mergeCell ref="J29:K29"/>
    <mergeCell ref="J30:K30"/>
    <mergeCell ref="J31:K31"/>
    <mergeCell ref="J68:K68"/>
    <mergeCell ref="J69:K69"/>
    <mergeCell ref="J70:K70"/>
    <mergeCell ref="J71:K71"/>
    <mergeCell ref="J72:K72"/>
  </mergeCells>
  <phoneticPr fontId="13" type="noConversion"/>
  <conditionalFormatting sqref="C16:G23">
    <cfRule type="cellIs" dxfId="103" priority="6" operator="between">
      <formula>7</formula>
      <formula>8</formula>
    </cfRule>
    <cfRule type="cellIs" dxfId="102" priority="7" operator="between">
      <formula>1</formula>
      <formula>2</formula>
    </cfRule>
  </conditionalFormatting>
  <conditionalFormatting sqref="F3">
    <cfRule type="cellIs" dxfId="101" priority="2" operator="equal">
      <formula>"GOOD"</formula>
    </cfRule>
    <cfRule type="cellIs" dxfId="100" priority="4" operator="equal">
      <formula>"GOOD"</formula>
    </cfRule>
    <cfRule type="top10" dxfId="99" priority="5" percent="1" rank="10"/>
  </conditionalFormatting>
  <conditionalFormatting sqref="G3">
    <cfRule type="cellIs" dxfId="98" priority="1" operator="equal">
      <formula>"BAD"</formula>
    </cfRule>
    <cfRule type="cellIs" dxfId="97" priority="3" operator="equal">
      <formula>"BAD"</formula>
    </cfRule>
  </conditionalFormatting>
  <pageMargins left="0.7" right="0.7" top="0.75" bottom="0.75" header="0.3" footer="0.3"/>
  <pageSetup paperSize="9" orientation="portrait" horizontalDpi="360" verticalDpi="36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CBF42-F22F-604F-B824-23A55B1E9101}">
  <dimension ref="B1:AJ73"/>
  <sheetViews>
    <sheetView topLeftCell="K66" zoomScale="66" zoomScaleNormal="55" workbookViewId="0">
      <selection activeCell="F3" sqref="F3:G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18"/>
      <c r="G1" s="219"/>
      <c r="H1" s="219"/>
    </row>
    <row r="2" spans="2:36" ht="24" customHeight="1" thickBot="1">
      <c r="B2" s="255" t="s">
        <v>116</v>
      </c>
      <c r="C2" s="256"/>
      <c r="D2" s="257"/>
      <c r="J2" s="226" t="s">
        <v>60</v>
      </c>
      <c r="K2" s="227"/>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58"/>
      <c r="C3" s="259"/>
      <c r="D3" s="260"/>
      <c r="F3" s="188" t="s">
        <v>130</v>
      </c>
      <c r="G3" s="189" t="s">
        <v>129</v>
      </c>
      <c r="J3" s="48" t="s">
        <v>81</v>
      </c>
      <c r="K3" s="190" t="s">
        <v>99</v>
      </c>
      <c r="L3" s="42">
        <v>0</v>
      </c>
      <c r="M3" s="147">
        <v>2.8493150684931523E-2</v>
      </c>
      <c r="N3" s="147">
        <v>-2.082191780821907E-2</v>
      </c>
      <c r="O3" s="147">
        <v>-0.30520547945205467</v>
      </c>
      <c r="P3" s="147">
        <v>-0.24876712328767103</v>
      </c>
      <c r="Q3" s="147">
        <v>-0.28821917808219166</v>
      </c>
      <c r="R3" s="147">
        <v>-0.34027397260273973</v>
      </c>
      <c r="S3" s="147">
        <v>-0.22301369863013698</v>
      </c>
      <c r="T3" s="147">
        <v>-0.20931506849315062</v>
      </c>
      <c r="U3" s="147">
        <v>-0.30301369863013694</v>
      </c>
      <c r="V3" s="147">
        <v>-0.11561643835616431</v>
      </c>
      <c r="W3" s="147">
        <v>-0.12438356164383557</v>
      </c>
      <c r="X3" s="147">
        <v>-0.19178082191780821</v>
      </c>
      <c r="Y3" s="147">
        <v>-0.25260273972602731</v>
      </c>
      <c r="Z3" s="147">
        <v>-0.19013698630136988</v>
      </c>
      <c r="AA3" s="147">
        <v>-1.69863013698629E-2</v>
      </c>
      <c r="AB3" s="147">
        <v>-8.2191780821917693E-2</v>
      </c>
      <c r="AC3" s="147">
        <v>-0.19287671232876702</v>
      </c>
      <c r="AD3" s="147">
        <v>-0.29808219178082185</v>
      </c>
      <c r="AE3" s="147">
        <v>-0.38904109589041092</v>
      </c>
      <c r="AF3" s="147">
        <v>-0.31890410958904114</v>
      </c>
      <c r="AG3" s="147">
        <v>-0.24712328767123293</v>
      </c>
      <c r="AH3" s="147">
        <v>-0.22027397260273973</v>
      </c>
      <c r="AI3" s="147">
        <v>-0.14082191780821918</v>
      </c>
      <c r="AJ3" s="152">
        <v>-0.15890410958904111</v>
      </c>
    </row>
    <row r="4" spans="2:36" ht="24" customHeight="1" thickBot="1">
      <c r="J4" s="43" t="s">
        <v>81</v>
      </c>
      <c r="K4" s="191" t="s">
        <v>101</v>
      </c>
      <c r="L4" s="45">
        <v>0</v>
      </c>
      <c r="M4" s="147">
        <v>-4.4342507645259932E-2</v>
      </c>
      <c r="N4" s="147">
        <v>-7.9701834862385357E-2</v>
      </c>
      <c r="O4" s="147">
        <v>-0.30358053007135566</v>
      </c>
      <c r="P4" s="147">
        <v>-0.28994648318042804</v>
      </c>
      <c r="Q4" s="147">
        <v>-0.40577217125382259</v>
      </c>
      <c r="R4" s="147">
        <v>-0.55058613659531086</v>
      </c>
      <c r="S4" s="147">
        <v>-0.53784403669724756</v>
      </c>
      <c r="T4" s="147">
        <v>-0.4912716615698266</v>
      </c>
      <c r="U4" s="147">
        <v>-0.58135830784913356</v>
      </c>
      <c r="V4" s="147">
        <v>-0.47024719673802229</v>
      </c>
      <c r="W4" s="147">
        <v>-0.36850152905198763</v>
      </c>
      <c r="X4" s="147">
        <v>-0.43361365953109066</v>
      </c>
      <c r="Y4" s="147">
        <v>-0.36015545361875634</v>
      </c>
      <c r="Z4" s="147">
        <v>-0.39965596330275222</v>
      </c>
      <c r="AA4" s="147">
        <v>-0.22241335372069315</v>
      </c>
      <c r="AB4" s="147">
        <v>-0.2382772680937818</v>
      </c>
      <c r="AC4" s="147">
        <v>-0.45291794087665638</v>
      </c>
      <c r="AD4" s="147">
        <v>-0.52395514780835883</v>
      </c>
      <c r="AE4" s="147">
        <v>-0.58741080530071343</v>
      </c>
      <c r="AF4" s="147">
        <v>-0.57581549439347612</v>
      </c>
      <c r="AG4" s="147">
        <v>-0.48318042813455653</v>
      </c>
      <c r="AH4" s="147">
        <v>-0.50949286442405706</v>
      </c>
      <c r="AI4" s="147">
        <v>-0.54466106014271154</v>
      </c>
      <c r="AJ4" s="152">
        <v>-0.52580275229357787</v>
      </c>
    </row>
    <row r="5" spans="2:36" ht="24" customHeight="1">
      <c r="B5" s="51"/>
      <c r="C5" s="50">
        <v>2021</v>
      </c>
      <c r="D5" s="50">
        <v>2022</v>
      </c>
      <c r="E5" s="50">
        <v>2023</v>
      </c>
      <c r="F5" s="50">
        <v>2024</v>
      </c>
      <c r="G5" s="49">
        <v>2025</v>
      </c>
      <c r="J5" s="44" t="s">
        <v>82</v>
      </c>
      <c r="K5" s="192" t="s">
        <v>99</v>
      </c>
      <c r="L5" s="46">
        <v>0</v>
      </c>
      <c r="M5" s="147">
        <v>-7.5254237288135517E-2</v>
      </c>
      <c r="N5" s="147">
        <v>2.0338983050847137E-3</v>
      </c>
      <c r="O5" s="147">
        <v>0.21627118644067811</v>
      </c>
      <c r="P5" s="147">
        <v>0.13559322033898313</v>
      </c>
      <c r="Q5" s="147">
        <v>-1.3559322033896981E-3</v>
      </c>
      <c r="R5" s="147">
        <v>-0.13152542372881337</v>
      </c>
      <c r="S5" s="147">
        <v>-0.24406779661016931</v>
      </c>
      <c r="T5" s="147">
        <v>-0.15728813559322019</v>
      </c>
      <c r="U5" s="147">
        <v>-6.847457627118636E-2</v>
      </c>
      <c r="V5" s="147">
        <v>-3.5254237288135482E-2</v>
      </c>
      <c r="W5" s="147">
        <v>6.3050847457627235E-2</v>
      </c>
      <c r="X5" s="147">
        <v>4.067796610169494E-2</v>
      </c>
      <c r="Y5" s="147">
        <v>-8.4067796610169498E-2</v>
      </c>
      <c r="Z5" s="147">
        <v>-0.22033898305084754</v>
      </c>
      <c r="AA5" s="147">
        <v>-0.23186440677966114</v>
      </c>
      <c r="AB5" s="147">
        <v>-0.27864406779661022</v>
      </c>
      <c r="AC5" s="147">
        <v>-0.28000000000000014</v>
      </c>
      <c r="AD5" s="147">
        <v>-0.23796610169491528</v>
      </c>
      <c r="AE5" s="147">
        <v>-9.152542372881356E-2</v>
      </c>
      <c r="AF5" s="147">
        <v>-1.5593220338983027E-2</v>
      </c>
      <c r="AG5" s="147">
        <v>0.18169491525423731</v>
      </c>
      <c r="AH5" s="147">
        <v>0.14711864406779673</v>
      </c>
      <c r="AI5" s="147">
        <v>-2.7118644067796627E-2</v>
      </c>
      <c r="AJ5" s="152">
        <v>-0.28474576271186436</v>
      </c>
    </row>
    <row r="6" spans="2:36" ht="24" customHeight="1">
      <c r="B6" s="47" t="s">
        <v>69</v>
      </c>
      <c r="C6" s="170">
        <v>-3.1025491340727768E-2</v>
      </c>
      <c r="D6" s="171">
        <v>1.9362264927620194E-3</v>
      </c>
      <c r="E6" s="171">
        <v>1.286646735642619E-2</v>
      </c>
      <c r="F6" s="171">
        <v>1.3553239720925016E-2</v>
      </c>
      <c r="G6" s="172">
        <v>1.7967415848555727E-3</v>
      </c>
      <c r="H6" s="1"/>
      <c r="J6" s="43" t="s">
        <v>82</v>
      </c>
      <c r="K6" s="191" t="s">
        <v>102</v>
      </c>
      <c r="L6" s="45">
        <v>0</v>
      </c>
      <c r="M6" s="147">
        <v>-1.7460787215152318E-2</v>
      </c>
      <c r="N6" s="147">
        <v>4.0248594258656345E-2</v>
      </c>
      <c r="O6" s="147">
        <v>0.36134951168984908</v>
      </c>
      <c r="P6" s="147">
        <v>0.32465226398342706</v>
      </c>
      <c r="Q6" s="147">
        <v>0.23054158034921568</v>
      </c>
      <c r="R6" s="147">
        <v>6.1852619118082375E-2</v>
      </c>
      <c r="S6" s="147">
        <v>-0.10328499556081672</v>
      </c>
      <c r="T6" s="147">
        <v>6.2740455756140845E-2</v>
      </c>
      <c r="U6" s="147">
        <v>0.15773897602841069</v>
      </c>
      <c r="V6" s="147">
        <v>0.12636874815034038</v>
      </c>
      <c r="W6" s="147">
        <v>0.21633619414027816</v>
      </c>
      <c r="X6" s="147">
        <v>0.38088191772713809</v>
      </c>
      <c r="Y6" s="147">
        <v>0.44421426457531821</v>
      </c>
      <c r="Z6" s="147">
        <v>0.47173720035513478</v>
      </c>
      <c r="AA6" s="147">
        <v>0.3711157147084938</v>
      </c>
      <c r="AB6" s="147">
        <v>0.24326723882805568</v>
      </c>
      <c r="AC6" s="147">
        <v>0.23231725362533306</v>
      </c>
      <c r="AD6" s="147">
        <v>0.47292098253921311</v>
      </c>
      <c r="AE6" s="147">
        <v>0.65936667653151848</v>
      </c>
      <c r="AF6" s="147">
        <v>0.85646641018052705</v>
      </c>
      <c r="AG6" s="147">
        <v>0.75969221663214026</v>
      </c>
      <c r="AH6" s="147">
        <v>0.95679195028114905</v>
      </c>
      <c r="AI6" s="147">
        <v>0.74874223142941765</v>
      </c>
      <c r="AJ6" s="152">
        <v>0.27138206569991175</v>
      </c>
    </row>
    <row r="7" spans="2:36" ht="24" customHeight="1">
      <c r="B7" s="47" t="s">
        <v>70</v>
      </c>
      <c r="C7" s="173">
        <v>5.8839471227679241E-2</v>
      </c>
      <c r="D7" s="174">
        <v>3.2821824381926684E-2</v>
      </c>
      <c r="E7" s="174">
        <v>3.2333205854743939E-2</v>
      </c>
      <c r="F7" s="174">
        <v>3.6862340956835389E-2</v>
      </c>
      <c r="G7" s="175">
        <v>5.2130740587505171E-2</v>
      </c>
      <c r="H7" s="1"/>
      <c r="J7" s="44" t="s">
        <v>83</v>
      </c>
      <c r="K7" s="192" t="s">
        <v>102</v>
      </c>
      <c r="L7" s="46">
        <v>0</v>
      </c>
      <c r="M7" s="147">
        <v>4.5863694813544909E-2</v>
      </c>
      <c r="N7" s="147">
        <v>6.5795113587655552E-2</v>
      </c>
      <c r="O7" s="147">
        <v>-7.0724389198455473E-3</v>
      </c>
      <c r="P7" s="147">
        <v>-9.9657093870552882E-2</v>
      </c>
      <c r="Q7" s="147">
        <v>-0.10758679811401617</v>
      </c>
      <c r="R7" s="147">
        <v>6.6652378911273402E-2</v>
      </c>
      <c r="S7" s="147">
        <v>0.2016716673810548</v>
      </c>
      <c r="T7" s="147">
        <v>0.34440634376339507</v>
      </c>
      <c r="U7" s="147">
        <v>0.2743249035576516</v>
      </c>
      <c r="V7" s="147">
        <v>0.4170595799399921</v>
      </c>
      <c r="W7" s="147">
        <v>0.26639519931418842</v>
      </c>
      <c r="X7" s="147">
        <v>-7.9297042434632981E-2</v>
      </c>
      <c r="Y7" s="147">
        <v>-0.12087441063008952</v>
      </c>
      <c r="Z7" s="147">
        <v>2.1860265752250863E-2</v>
      </c>
      <c r="AA7" s="147">
        <v>4.1577368195456987E-2</v>
      </c>
      <c r="AB7" s="147">
        <v>0.12687526789541415</v>
      </c>
      <c r="AC7" s="147">
        <v>0.31290184312044644</v>
      </c>
      <c r="AD7" s="147">
        <v>0.20595799399914339</v>
      </c>
      <c r="AE7" s="147">
        <v>0.21945992284612137</v>
      </c>
      <c r="AF7" s="147">
        <v>0.36648092584655001</v>
      </c>
      <c r="AG7" s="147">
        <v>0.47942563223317691</v>
      </c>
      <c r="AH7" s="147">
        <v>0.40462923274753626</v>
      </c>
      <c r="AI7" s="147">
        <v>0.40055722246035197</v>
      </c>
      <c r="AJ7" s="152">
        <v>0.42091727389627143</v>
      </c>
    </row>
    <row r="8" spans="2:36" ht="24" customHeight="1">
      <c r="B8" s="47" t="s">
        <v>71</v>
      </c>
      <c r="C8" s="173">
        <v>-2.6190781871870586E-2</v>
      </c>
      <c r="D8" s="174">
        <v>-1.5631601182931981E-2</v>
      </c>
      <c r="E8" s="174">
        <v>-2.4466192170818505E-3</v>
      </c>
      <c r="F8" s="174">
        <v>1.525210837968778E-2</v>
      </c>
      <c r="G8" s="175">
        <v>-2.0489045090854707E-2</v>
      </c>
      <c r="J8" s="43" t="s">
        <v>83</v>
      </c>
      <c r="K8" s="191" t="s">
        <v>96</v>
      </c>
      <c r="L8" s="45">
        <v>0</v>
      </c>
      <c r="M8" s="147">
        <v>7.4770258980785265E-2</v>
      </c>
      <c r="N8" s="147">
        <v>0.10672514619883056</v>
      </c>
      <c r="O8" s="147">
        <v>1.6290726817042689E-2</v>
      </c>
      <c r="P8" s="147">
        <v>-5.1378446115288079E-2</v>
      </c>
      <c r="Q8" s="147">
        <v>-8.0200501253132717E-2</v>
      </c>
      <c r="R8" s="147">
        <v>0.19172932330827086</v>
      </c>
      <c r="S8" s="147">
        <v>0.63450292397660846</v>
      </c>
      <c r="T8" s="147">
        <v>1.0223475355054301</v>
      </c>
      <c r="U8" s="147">
        <v>1.0279866332497911</v>
      </c>
      <c r="V8" s="147">
        <v>1.2105263157894739</v>
      </c>
      <c r="W8" s="147">
        <v>0.95927318295739372</v>
      </c>
      <c r="X8" s="147">
        <v>0.44214703425229751</v>
      </c>
      <c r="Y8" s="147">
        <v>0.43734335839599003</v>
      </c>
      <c r="Z8" s="147">
        <v>0.65914786967418548</v>
      </c>
      <c r="AA8" s="147">
        <v>0.66311612364243966</v>
      </c>
      <c r="AB8" s="147">
        <v>0.84440267335004227</v>
      </c>
      <c r="AC8" s="147">
        <v>1.1929824561403515</v>
      </c>
      <c r="AD8" s="147">
        <v>1.0154553049289894</v>
      </c>
      <c r="AE8" s="147">
        <v>0.96407685881370142</v>
      </c>
      <c r="AF8" s="147">
        <v>1.1294903926482878</v>
      </c>
      <c r="AG8" s="147">
        <v>1.3354218880534678</v>
      </c>
      <c r="AH8" s="147">
        <v>1.1370091896407692</v>
      </c>
      <c r="AI8" s="147">
        <v>1.2201336675020893</v>
      </c>
      <c r="AJ8" s="152">
        <v>0.92293233082706805</v>
      </c>
    </row>
    <row r="9" spans="2:36" ht="24" customHeight="1">
      <c r="B9" s="47" t="s">
        <v>72</v>
      </c>
      <c r="C9" s="173">
        <v>4.1890494314619123E-2</v>
      </c>
      <c r="D9" s="174">
        <v>5.8642472628220137E-4</v>
      </c>
      <c r="E9" s="174">
        <v>2.5071884240708085E-2</v>
      </c>
      <c r="F9" s="174">
        <v>-5.1739085442026232E-2</v>
      </c>
      <c r="G9" s="175">
        <v>-1.0347657157488369E-2</v>
      </c>
      <c r="J9" s="44" t="s">
        <v>84</v>
      </c>
      <c r="K9" s="190" t="s">
        <v>102</v>
      </c>
      <c r="L9" s="42">
        <v>0</v>
      </c>
      <c r="M9" s="147">
        <v>-4.5158286778398504E-2</v>
      </c>
      <c r="N9" s="147">
        <v>0.10986964618249528</v>
      </c>
      <c r="O9" s="147">
        <v>0.13128491620111715</v>
      </c>
      <c r="P9" s="147">
        <v>0.22392923649906882</v>
      </c>
      <c r="Q9" s="147">
        <v>0.42597765363128492</v>
      </c>
      <c r="R9" s="147">
        <v>0.30982309124767227</v>
      </c>
      <c r="S9" s="147">
        <v>0.32448789571694592</v>
      </c>
      <c r="T9" s="147">
        <v>0.48417132216014891</v>
      </c>
      <c r="U9" s="147">
        <v>0.60684357541899447</v>
      </c>
      <c r="V9" s="147">
        <v>0.52560521415270034</v>
      </c>
      <c r="W9" s="147">
        <v>0.52118249534450634</v>
      </c>
      <c r="X9" s="147">
        <v>0.54329608938547458</v>
      </c>
      <c r="Y9" s="147">
        <v>0.57844506517690863</v>
      </c>
      <c r="Z9" s="147">
        <v>0.89897579143389184</v>
      </c>
      <c r="AJ9" s="41"/>
    </row>
    <row r="10" spans="2:36" ht="24" customHeight="1" thickBot="1">
      <c r="B10" s="63" t="s">
        <v>75</v>
      </c>
      <c r="C10" s="173">
        <v>-1.3457556935817806E-2</v>
      </c>
      <c r="D10" s="174">
        <v>-2.7129313898152659E-2</v>
      </c>
      <c r="E10" s="174">
        <v>-2.3050040895233846E-2</v>
      </c>
      <c r="F10" s="174">
        <v>-4.4503811819899652E-2</v>
      </c>
      <c r="G10" s="175">
        <v>-3.3581754511987069E-2</v>
      </c>
      <c r="J10" s="43" t="s">
        <v>84</v>
      </c>
      <c r="K10" s="190" t="s">
        <v>96</v>
      </c>
      <c r="L10" s="42">
        <v>0</v>
      </c>
      <c r="M10" s="147">
        <v>-3.3309196234613259E-3</v>
      </c>
      <c r="N10" s="147">
        <v>0.15047067342505427</v>
      </c>
      <c r="O10" s="147">
        <v>0.1532223026792181</v>
      </c>
      <c r="P10" s="147">
        <v>0.27892831281679986</v>
      </c>
      <c r="Q10" s="147">
        <v>0.52063721940622787</v>
      </c>
      <c r="R10" s="147">
        <v>0.39753801593048554</v>
      </c>
      <c r="S10" s="147">
        <v>0.36191165821868254</v>
      </c>
      <c r="T10" s="147">
        <v>0.47661115133960918</v>
      </c>
      <c r="U10" s="147">
        <v>0.61940622737147022</v>
      </c>
      <c r="V10" s="147">
        <v>0.48182476466328783</v>
      </c>
      <c r="W10" s="147">
        <v>0.53946415640839995</v>
      </c>
      <c r="X10" s="147">
        <v>0.33338160753077495</v>
      </c>
      <c r="Y10" s="147">
        <v>0.30340333091962357</v>
      </c>
      <c r="Z10" s="147">
        <v>0.63099203475742249</v>
      </c>
      <c r="AA10" s="153"/>
      <c r="AB10" s="153"/>
      <c r="AC10" s="153"/>
      <c r="AD10" s="153"/>
      <c r="AE10" s="153"/>
      <c r="AF10" s="153"/>
      <c r="AG10" s="153"/>
      <c r="AH10" s="153"/>
      <c r="AI10" s="153"/>
      <c r="AJ10" s="154"/>
    </row>
    <row r="11" spans="2:36" ht="24" customHeight="1" thickBot="1">
      <c r="B11" s="47" t="s">
        <v>76</v>
      </c>
      <c r="C11" s="173">
        <v>3.4146515698110509E-2</v>
      </c>
      <c r="D11" s="174">
        <v>4.1226854319934602E-3</v>
      </c>
      <c r="E11" s="174">
        <v>1.6320011111496929E-2</v>
      </c>
      <c r="F11" s="174">
        <v>2.2977807509961898E-2</v>
      </c>
      <c r="G11" s="175">
        <v>4.9839268359540478E-3</v>
      </c>
      <c r="J11" s="216" t="s">
        <v>58</v>
      </c>
      <c r="K11" s="217"/>
      <c r="L11" s="40">
        <v>0</v>
      </c>
      <c r="M11" s="39">
        <f t="shared" ref="M11:AJ11" si="0">AVERAGE(M3:M10)</f>
        <v>-4.5524542588932376E-3</v>
      </c>
      <c r="N11" s="39">
        <f t="shared" si="0"/>
        <v>4.6827414910896537E-2</v>
      </c>
      <c r="O11" s="39">
        <f t="shared" si="0"/>
        <v>3.2820024423081157E-2</v>
      </c>
      <c r="P11" s="39">
        <f t="shared" si="0"/>
        <v>3.4169235898042355E-2</v>
      </c>
      <c r="Q11" s="39">
        <f t="shared" si="0"/>
        <v>3.6752734060021955E-2</v>
      </c>
      <c r="R11" s="39">
        <f t="shared" si="0"/>
        <v>6.5123694861507486E-4</v>
      </c>
      <c r="S11" s="39">
        <f t="shared" si="0"/>
        <v>5.1795452224365157E-2</v>
      </c>
      <c r="T11" s="39">
        <f t="shared" si="0"/>
        <v>0.19155024285856584</v>
      </c>
      <c r="U11" s="39">
        <f t="shared" si="0"/>
        <v>0.21668171660948266</v>
      </c>
      <c r="V11" s="39">
        <f t="shared" si="0"/>
        <v>0.26753334378918403</v>
      </c>
      <c r="W11" s="39">
        <f t="shared" si="0"/>
        <v>0.25910212311582137</v>
      </c>
      <c r="X11" s="39">
        <f t="shared" si="0"/>
        <v>0.12946163638923103</v>
      </c>
      <c r="Y11" s="39">
        <f t="shared" si="0"/>
        <v>0.11821320231034972</v>
      </c>
      <c r="Z11" s="39">
        <f t="shared" si="0"/>
        <v>0.23407265366473948</v>
      </c>
      <c r="AA11" s="39">
        <f t="shared" si="0"/>
        <v>0.10075752411269555</v>
      </c>
      <c r="AB11" s="39">
        <f t="shared" si="0"/>
        <v>0.10257201056020039</v>
      </c>
      <c r="AC11" s="39">
        <f t="shared" si="0"/>
        <v>0.13540114994678457</v>
      </c>
      <c r="AD11" s="39">
        <f t="shared" si="0"/>
        <v>0.10572180669720832</v>
      </c>
      <c r="AE11" s="39">
        <f t="shared" si="0"/>
        <v>0.12915435554523388</v>
      </c>
      <c r="AF11" s="39">
        <f t="shared" si="0"/>
        <v>0.24035415072564406</v>
      </c>
      <c r="AG11" s="39">
        <f t="shared" si="0"/>
        <v>0.3376551560612055</v>
      </c>
      <c r="AH11" s="39">
        <f t="shared" si="0"/>
        <v>0.31929702995174242</v>
      </c>
      <c r="AI11" s="39">
        <f t="shared" si="0"/>
        <v>0.27613858322885526</v>
      </c>
      <c r="AJ11" s="38">
        <f t="shared" si="0"/>
        <v>0.10762984097146132</v>
      </c>
    </row>
    <row r="12" spans="2:36" ht="24" customHeight="1">
      <c r="B12" s="64" t="s">
        <v>74</v>
      </c>
      <c r="C12" s="173">
        <v>-3.075405369432287E-2</v>
      </c>
      <c r="D12" s="174">
        <v>1.0875580117019472E-2</v>
      </c>
      <c r="E12" s="174">
        <v>3.7815429504123872E-2</v>
      </c>
      <c r="F12" s="174">
        <v>4.3378539400910548E-2</v>
      </c>
      <c r="G12" s="175">
        <v>4.454896333645561E-2</v>
      </c>
    </row>
    <row r="13" spans="2:36" ht="24" customHeight="1" thickBot="1">
      <c r="B13" s="65" t="s">
        <v>73</v>
      </c>
      <c r="C13" s="176">
        <v>3.8774450406785527E-3</v>
      </c>
      <c r="D13" s="177">
        <v>1.8211085549268723E-2</v>
      </c>
      <c r="E13" s="177">
        <v>6.316640627141408E-2</v>
      </c>
      <c r="F13" s="177">
        <v>4.6397702260159983E-2</v>
      </c>
      <c r="G13" s="178">
        <v>6.3884510080477894E-2</v>
      </c>
    </row>
    <row r="14" spans="2:36" ht="24" customHeight="1" thickBot="1">
      <c r="J14" s="182"/>
      <c r="K14" s="183"/>
      <c r="L14" s="183"/>
      <c r="M14" s="180"/>
      <c r="N14" s="180"/>
      <c r="O14" s="180"/>
      <c r="P14" s="180"/>
      <c r="Q14" s="180"/>
      <c r="R14" s="180"/>
      <c r="S14" s="180"/>
      <c r="T14" s="180"/>
      <c r="U14" s="180"/>
      <c r="V14" s="180"/>
      <c r="W14" s="180"/>
      <c r="X14" s="180"/>
      <c r="Y14" s="180"/>
      <c r="Z14" s="180"/>
      <c r="AA14" s="180"/>
      <c r="AB14" s="180"/>
      <c r="AC14" s="180"/>
      <c r="AD14" s="180"/>
      <c r="AE14" s="180"/>
      <c r="AF14" s="180"/>
      <c r="AG14" s="180"/>
      <c r="AH14" s="180"/>
      <c r="AI14" s="180"/>
      <c r="AJ14" s="181"/>
    </row>
    <row r="15" spans="2:36" ht="24" customHeight="1" thickBot="1">
      <c r="B15" s="51"/>
      <c r="C15" s="50">
        <v>2021</v>
      </c>
      <c r="D15" s="50">
        <v>2022</v>
      </c>
      <c r="E15" s="50">
        <v>2023</v>
      </c>
      <c r="F15" s="50">
        <v>2024</v>
      </c>
      <c r="G15" s="49">
        <v>2025</v>
      </c>
      <c r="J15" s="228" t="s">
        <v>59</v>
      </c>
      <c r="K15" s="229"/>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8</v>
      </c>
      <c r="D16" s="84">
        <v>5</v>
      </c>
      <c r="E16" s="84">
        <v>6</v>
      </c>
      <c r="F16" s="84">
        <v>6</v>
      </c>
      <c r="G16" s="85">
        <v>5</v>
      </c>
      <c r="J16" s="48" t="s">
        <v>81</v>
      </c>
      <c r="K16" s="197" t="s">
        <v>96</v>
      </c>
      <c r="L16" s="42">
        <v>0</v>
      </c>
      <c r="M16" s="147">
        <v>8.9301121656600424E-2</v>
      </c>
      <c r="N16" s="147">
        <v>2.7394305435720412E-2</v>
      </c>
      <c r="O16" s="147">
        <v>-0.235979292493529</v>
      </c>
      <c r="P16" s="147">
        <v>-0.20729076790336509</v>
      </c>
      <c r="Q16" s="147">
        <v>-0.24482312338222623</v>
      </c>
      <c r="R16" s="147">
        <v>-0.29831751509922355</v>
      </c>
      <c r="S16" s="147">
        <v>-7.0750647109577458E-2</v>
      </c>
      <c r="T16" s="147">
        <v>-4.7238999137187432E-2</v>
      </c>
      <c r="U16" s="147">
        <v>-0.1867989646246766</v>
      </c>
      <c r="V16" s="147">
        <v>5.6082830025884212E-2</v>
      </c>
      <c r="W16" s="147">
        <v>0.12079378774805849</v>
      </c>
      <c r="X16" s="147">
        <v>-4.5513373597929396E-2</v>
      </c>
      <c r="Y16" s="147">
        <v>-5.5220017256255582E-2</v>
      </c>
      <c r="Z16" s="147">
        <v>2.3943054357204119E-2</v>
      </c>
      <c r="AA16" s="147">
        <v>0.18356341673856713</v>
      </c>
      <c r="AB16" s="147">
        <v>0.17148403796376144</v>
      </c>
      <c r="AC16" s="147">
        <v>7.441760138050002E-2</v>
      </c>
      <c r="AD16" s="147">
        <v>-8.7575496117342944E-2</v>
      </c>
      <c r="AE16" s="147">
        <v>-0.24482312338222634</v>
      </c>
      <c r="AF16" s="147">
        <v>-0.15012942191544465</v>
      </c>
      <c r="AG16" s="147">
        <v>-0.11000862812769663</v>
      </c>
      <c r="AH16" s="147">
        <v>-0.10742018981880963</v>
      </c>
      <c r="AI16" s="147">
        <v>-1.87661777394309E-2</v>
      </c>
      <c r="AJ16" s="152">
        <v>3.2786885245901232E-2</v>
      </c>
    </row>
    <row r="17" spans="2:36" ht="24" customHeight="1">
      <c r="B17" s="47" t="s">
        <v>70</v>
      </c>
      <c r="C17" s="84">
        <v>1</v>
      </c>
      <c r="D17" s="84">
        <v>1</v>
      </c>
      <c r="E17" s="84">
        <v>3</v>
      </c>
      <c r="F17" s="84">
        <v>3</v>
      </c>
      <c r="G17" s="85">
        <v>2</v>
      </c>
      <c r="J17" s="43" t="s">
        <v>81</v>
      </c>
      <c r="K17" s="198" t="s">
        <v>104</v>
      </c>
      <c r="L17" s="45">
        <v>0</v>
      </c>
      <c r="M17" s="147">
        <v>-7.5254237288135517E-2</v>
      </c>
      <c r="N17" s="147">
        <v>2.0338983050847137E-3</v>
      </c>
      <c r="O17" s="147">
        <v>0.21627118644067811</v>
      </c>
      <c r="P17" s="147">
        <v>0.13559322033898313</v>
      </c>
      <c r="Q17" s="147">
        <v>-1.3559322033896981E-3</v>
      </c>
      <c r="R17" s="147">
        <v>-0.13152542372881337</v>
      </c>
      <c r="S17" s="147">
        <v>-0.24406779661016931</v>
      </c>
      <c r="T17" s="147">
        <v>-0.15728813559322019</v>
      </c>
      <c r="U17" s="147">
        <v>-6.847457627118636E-2</v>
      </c>
      <c r="V17" s="147">
        <v>-3.5254237288135482E-2</v>
      </c>
      <c r="W17" s="147">
        <v>6.3050847457627235E-2</v>
      </c>
      <c r="X17" s="147">
        <v>4.067796610169494E-2</v>
      </c>
      <c r="Y17" s="147">
        <v>-8.4067796610169498E-2</v>
      </c>
      <c r="Z17" s="147">
        <v>-0.22033898305084754</v>
      </c>
      <c r="AA17" s="147">
        <v>-0.23186440677966114</v>
      </c>
      <c r="AB17" s="147">
        <v>-0.27864406779661022</v>
      </c>
      <c r="AC17" s="147">
        <v>-0.28000000000000014</v>
      </c>
      <c r="AD17" s="147">
        <v>-0.23796610169491528</v>
      </c>
      <c r="AE17" s="147">
        <v>-9.152542372881356E-2</v>
      </c>
      <c r="AF17" s="147">
        <v>-1.5593220338983027E-2</v>
      </c>
      <c r="AG17" s="147">
        <v>0.18169491525423731</v>
      </c>
      <c r="AH17" s="147">
        <v>0.14711864406779673</v>
      </c>
      <c r="AI17" s="147">
        <v>-2.7118644067796627E-2</v>
      </c>
      <c r="AJ17" s="152">
        <v>-0.28474576271186436</v>
      </c>
    </row>
    <row r="18" spans="2:36" ht="24" customHeight="1">
      <c r="B18" s="47" t="s">
        <v>71</v>
      </c>
      <c r="C18" s="86">
        <v>6</v>
      </c>
      <c r="D18" s="86">
        <v>7</v>
      </c>
      <c r="E18" s="86">
        <v>7</v>
      </c>
      <c r="F18" s="86">
        <v>5</v>
      </c>
      <c r="G18" s="87">
        <v>7</v>
      </c>
      <c r="J18" s="44" t="s">
        <v>82</v>
      </c>
      <c r="K18" s="199" t="s">
        <v>98</v>
      </c>
      <c r="L18" s="46">
        <v>0</v>
      </c>
      <c r="M18" s="147">
        <v>-0.25524044389642409</v>
      </c>
      <c r="N18" s="147">
        <v>-0.32552404438964244</v>
      </c>
      <c r="O18" s="147">
        <v>-0.39210850801479658</v>
      </c>
      <c r="P18" s="147">
        <v>-0.51405672009864367</v>
      </c>
      <c r="Q18" s="147">
        <v>-0.55240443896424174</v>
      </c>
      <c r="R18" s="147">
        <v>-0.34032059186189889</v>
      </c>
      <c r="S18" s="147">
        <v>-0.25030826140567197</v>
      </c>
      <c r="T18" s="147">
        <v>-0.28113440197287287</v>
      </c>
      <c r="U18" s="147">
        <v>-0.12330456226880371</v>
      </c>
      <c r="V18" s="147">
        <v>3.9457459926017568E-2</v>
      </c>
      <c r="W18" s="147">
        <v>-0.11220715166461126</v>
      </c>
      <c r="X18" s="147">
        <v>-0.46485819975339071</v>
      </c>
      <c r="Y18" s="147">
        <v>-0.6325524044389641</v>
      </c>
      <c r="Z18" s="147">
        <v>-0.50431565967940795</v>
      </c>
      <c r="AA18" s="147">
        <v>-0.55610357583230563</v>
      </c>
      <c r="AB18" s="147">
        <v>-0.45992601726263849</v>
      </c>
      <c r="AC18" s="147">
        <v>-0.39580764488286035</v>
      </c>
      <c r="AD18" s="147">
        <v>-0.45561035758323032</v>
      </c>
      <c r="AE18" s="147">
        <v>-0.52404438964241651</v>
      </c>
      <c r="AF18" s="147">
        <v>-0.43773119605425381</v>
      </c>
      <c r="AG18" s="147">
        <v>-0.41923551171393314</v>
      </c>
      <c r="AH18" s="147">
        <v>-0.42786683107274948</v>
      </c>
      <c r="AI18" s="147">
        <v>-0.45252774352651015</v>
      </c>
      <c r="AJ18" s="152">
        <v>-0.56473489519112186</v>
      </c>
    </row>
    <row r="19" spans="2:36" ht="24" customHeight="1">
      <c r="B19" s="47" t="s">
        <v>72</v>
      </c>
      <c r="C19" s="86">
        <v>2</v>
      </c>
      <c r="D19" s="86">
        <v>6</v>
      </c>
      <c r="E19" s="86">
        <v>4</v>
      </c>
      <c r="F19" s="86">
        <v>8</v>
      </c>
      <c r="G19" s="87">
        <v>6</v>
      </c>
      <c r="J19" s="43" t="s">
        <v>82</v>
      </c>
      <c r="K19" s="198" t="s">
        <v>113</v>
      </c>
      <c r="L19" s="45">
        <v>0</v>
      </c>
      <c r="M19" s="147">
        <v>-1.9230769230769273E-2</v>
      </c>
      <c r="N19" s="147">
        <v>-6.1813186813186816E-2</v>
      </c>
      <c r="O19" s="147">
        <v>0.21703296703296693</v>
      </c>
      <c r="P19" s="147">
        <v>6.7307692307692291E-2</v>
      </c>
      <c r="Q19" s="147">
        <v>-0.1868131868131867</v>
      </c>
      <c r="R19" s="147">
        <v>-0.36813186813186805</v>
      </c>
      <c r="S19" s="147">
        <v>-0.48351648351648346</v>
      </c>
      <c r="T19" s="147">
        <v>-0.39285714285714279</v>
      </c>
      <c r="U19" s="147">
        <v>-0.23763736263736257</v>
      </c>
      <c r="V19" s="147">
        <v>-0.27060439560439553</v>
      </c>
      <c r="W19" s="147">
        <v>-0.10989010989010972</v>
      </c>
      <c r="X19" s="147">
        <v>1.9230769230769384E-2</v>
      </c>
      <c r="Y19" s="147">
        <v>-0.21978021978021967</v>
      </c>
      <c r="Z19" s="147">
        <v>-0.23214285714285698</v>
      </c>
      <c r="AA19" s="147">
        <v>-0.16346153846153832</v>
      </c>
      <c r="AB19" s="147">
        <v>-0.11950549450549419</v>
      </c>
      <c r="AC19" s="147">
        <v>-0.30219780219780201</v>
      </c>
      <c r="AD19" s="147">
        <v>-9.8901098901098661E-2</v>
      </c>
      <c r="AE19" s="147">
        <v>-0.21703296703296671</v>
      </c>
      <c r="AF19" s="147">
        <v>-0.17994505494505464</v>
      </c>
      <c r="AG19" s="147">
        <v>7.9670329670330275E-2</v>
      </c>
      <c r="AH19" s="147">
        <v>-9.6153846153845701E-2</v>
      </c>
      <c r="AI19" s="147">
        <v>-0.10439560439560402</v>
      </c>
      <c r="AJ19" s="152">
        <v>-0.3379120879120876</v>
      </c>
    </row>
    <row r="20" spans="2:36" ht="24" customHeight="1">
      <c r="B20" s="63" t="s">
        <v>75</v>
      </c>
      <c r="C20" s="88">
        <v>5</v>
      </c>
      <c r="D20" s="89">
        <v>8</v>
      </c>
      <c r="E20" s="89">
        <v>8</v>
      </c>
      <c r="F20" s="89">
        <v>7</v>
      </c>
      <c r="G20" s="90">
        <v>8</v>
      </c>
      <c r="J20" s="44" t="s">
        <v>83</v>
      </c>
      <c r="K20" s="199" t="s">
        <v>98</v>
      </c>
      <c r="L20" s="46">
        <v>0</v>
      </c>
      <c r="M20" s="147">
        <v>-0.25524044389642409</v>
      </c>
      <c r="N20" s="147">
        <v>-0.32552404438964244</v>
      </c>
      <c r="O20" s="147">
        <v>-0.39210850801479658</v>
      </c>
      <c r="P20" s="147">
        <v>-0.51405672009864367</v>
      </c>
      <c r="Q20" s="147">
        <v>-0.55240443896424174</v>
      </c>
      <c r="R20" s="147">
        <v>-0.34032059186189889</v>
      </c>
      <c r="S20" s="147">
        <v>-0.25030826140567197</v>
      </c>
      <c r="T20" s="147">
        <v>-0.28113440197287287</v>
      </c>
      <c r="U20" s="147">
        <v>-0.12330456226880371</v>
      </c>
      <c r="V20" s="147">
        <v>3.9457459926017568E-2</v>
      </c>
      <c r="W20" s="147">
        <v>-0.11220715166461126</v>
      </c>
      <c r="X20" s="147">
        <v>-0.46485819975339071</v>
      </c>
      <c r="Y20" s="147">
        <v>-0.6325524044389641</v>
      </c>
      <c r="Z20" s="147">
        <v>-0.50431565967940795</v>
      </c>
      <c r="AA20" s="147">
        <v>-0.55610357583230563</v>
      </c>
      <c r="AB20" s="147">
        <v>-0.45992601726263849</v>
      </c>
      <c r="AC20" s="147">
        <v>-0.39580764488286035</v>
      </c>
      <c r="AD20" s="147">
        <v>-0.45561035758323032</v>
      </c>
      <c r="AE20" s="147">
        <v>-0.52404438964241651</v>
      </c>
      <c r="AF20" s="147">
        <v>-0.43773119605425381</v>
      </c>
      <c r="AG20" s="147">
        <v>-0.41923551171393314</v>
      </c>
      <c r="AH20" s="147">
        <v>-0.42786683107274948</v>
      </c>
      <c r="AI20" s="147">
        <v>-0.45252774352651015</v>
      </c>
      <c r="AJ20" s="152">
        <v>-0.56473489519112186</v>
      </c>
    </row>
    <row r="21" spans="2:36" ht="24" customHeight="1">
      <c r="B21" s="47" t="s">
        <v>76</v>
      </c>
      <c r="C21" s="91">
        <v>3</v>
      </c>
      <c r="D21" s="91">
        <v>4</v>
      </c>
      <c r="E21" s="84">
        <v>5</v>
      </c>
      <c r="F21" s="84">
        <v>4</v>
      </c>
      <c r="G21" s="85">
        <v>4</v>
      </c>
      <c r="J21" s="43" t="s">
        <v>83</v>
      </c>
      <c r="K21" s="198" t="s">
        <v>113</v>
      </c>
      <c r="L21" s="45">
        <v>0</v>
      </c>
      <c r="M21" s="147">
        <v>-0.23450134770889486</v>
      </c>
      <c r="N21" s="147">
        <v>-0.24663072776280315</v>
      </c>
      <c r="O21" s="147">
        <v>-0.17924528301886788</v>
      </c>
      <c r="P21" s="147">
        <v>-0.1361185983827492</v>
      </c>
      <c r="Q21" s="147">
        <v>-0.3153638814016172</v>
      </c>
      <c r="R21" s="147">
        <v>-0.11590296495956875</v>
      </c>
      <c r="S21" s="147">
        <v>-0.2318059299191374</v>
      </c>
      <c r="T21" s="147">
        <v>-0.19541778975741242</v>
      </c>
      <c r="U21" s="147">
        <v>5.9299191374663218E-2</v>
      </c>
      <c r="V21" s="147">
        <v>-0.11320754716981118</v>
      </c>
      <c r="W21" s="147">
        <v>-0.12129380053908345</v>
      </c>
      <c r="X21" s="147">
        <v>-0.3504043126684635</v>
      </c>
      <c r="Y21" s="147">
        <v>-0.41239892183288396</v>
      </c>
      <c r="Z21" s="147">
        <v>-0.31940700808625333</v>
      </c>
      <c r="AA21" s="147">
        <v>-0.42991913746630717</v>
      </c>
      <c r="AB21" s="147">
        <v>-0.40161725067385434</v>
      </c>
      <c r="AC21" s="147">
        <v>-0.27897574123989222</v>
      </c>
      <c r="AD21" s="147">
        <v>-0.33692722371967654</v>
      </c>
      <c r="AE21" s="147">
        <v>-0.4339622641509433</v>
      </c>
      <c r="AF21" s="147">
        <v>-0.38409703504043113</v>
      </c>
      <c r="AG21" s="147">
        <v>-0.38679245283018859</v>
      </c>
      <c r="AH21" s="147">
        <v>-0.34366576819407002</v>
      </c>
      <c r="AI21" s="147">
        <v>-0.25336927223719674</v>
      </c>
      <c r="AJ21" s="152">
        <v>-0.4043126684636118</v>
      </c>
    </row>
    <row r="22" spans="2:36" ht="24" customHeight="1">
      <c r="B22" s="64" t="s">
        <v>74</v>
      </c>
      <c r="C22" s="92">
        <v>7</v>
      </c>
      <c r="D22" s="92">
        <v>3</v>
      </c>
      <c r="E22" s="92">
        <v>2</v>
      </c>
      <c r="F22" s="92">
        <v>2</v>
      </c>
      <c r="G22" s="93">
        <v>3</v>
      </c>
      <c r="J22" s="44" t="s">
        <v>84</v>
      </c>
      <c r="K22" s="197" t="s">
        <v>113</v>
      </c>
      <c r="L22" s="42">
        <v>0</v>
      </c>
      <c r="M22" s="147">
        <v>-9.5435684647302899E-2</v>
      </c>
      <c r="N22" s="147">
        <v>4.7717842323651283E-2</v>
      </c>
      <c r="O22" s="147">
        <v>-0.12240663900414939</v>
      </c>
      <c r="P22" s="147">
        <v>-7.8838174273858974E-2</v>
      </c>
      <c r="Q22" s="147">
        <v>0.10995850622406622</v>
      </c>
      <c r="R22" s="147">
        <v>2.0746887966804906E-2</v>
      </c>
      <c r="S22" s="147">
        <v>-0.12863070539419086</v>
      </c>
      <c r="T22" s="147">
        <v>-5.1867219917012375E-2</v>
      </c>
      <c r="U22" s="147">
        <v>-5.6016597510373467E-2</v>
      </c>
      <c r="V22" s="147">
        <v>1.0373443983402453E-2</v>
      </c>
      <c r="W22" s="147">
        <v>0.14937759336099576</v>
      </c>
      <c r="X22" s="147">
        <v>-8.2987551867219955E-2</v>
      </c>
      <c r="Y22" s="147">
        <v>-3.319502074688796E-2</v>
      </c>
      <c r="Z22" s="147">
        <v>0.13278008298755184</v>
      </c>
      <c r="AJ22" s="41"/>
    </row>
    <row r="23" spans="2:36" ht="24" customHeight="1" thickBot="1">
      <c r="B23" s="65" t="s">
        <v>73</v>
      </c>
      <c r="C23" s="94">
        <v>4</v>
      </c>
      <c r="D23" s="94">
        <v>2</v>
      </c>
      <c r="E23" s="94">
        <v>1</v>
      </c>
      <c r="F23" s="94">
        <v>1</v>
      </c>
      <c r="G23" s="95">
        <v>1</v>
      </c>
      <c r="J23" s="43" t="s">
        <v>84</v>
      </c>
      <c r="K23" s="197" t="s">
        <v>101</v>
      </c>
      <c r="L23" s="42">
        <v>0</v>
      </c>
      <c r="M23" s="147">
        <v>-9.1384317521781222E-2</v>
      </c>
      <c r="N23" s="147">
        <v>7.6089060987415413E-2</v>
      </c>
      <c r="O23" s="147">
        <v>6.3891577928364196E-2</v>
      </c>
      <c r="P23" s="147">
        <v>-1.9361084220703706E-4</v>
      </c>
      <c r="Q23" s="147">
        <v>0.21316553727008714</v>
      </c>
      <c r="R23" s="147">
        <v>0.17657308809293326</v>
      </c>
      <c r="S23" s="147">
        <v>0.20387221684414314</v>
      </c>
      <c r="T23" s="147">
        <v>0.4714424007744431</v>
      </c>
      <c r="U23" s="147">
        <v>0.65091965150048381</v>
      </c>
      <c r="V23" s="147">
        <v>0.71597289448209067</v>
      </c>
      <c r="W23" s="147">
        <v>0.97773475314617597</v>
      </c>
      <c r="X23" s="147">
        <v>0.56902226524685373</v>
      </c>
      <c r="Y23" s="147">
        <v>0.46447241045498533</v>
      </c>
      <c r="Z23" s="147">
        <v>0.77366892545982546</v>
      </c>
      <c r="AA23" s="153"/>
      <c r="AB23" s="153"/>
      <c r="AC23" s="153"/>
      <c r="AD23" s="153"/>
      <c r="AE23" s="153"/>
      <c r="AF23" s="153"/>
      <c r="AG23" s="153"/>
      <c r="AH23" s="153"/>
      <c r="AI23" s="153"/>
      <c r="AJ23" s="154"/>
    </row>
    <row r="24" spans="2:36" ht="24" customHeight="1" thickBot="1">
      <c r="J24" s="216" t="s">
        <v>58</v>
      </c>
      <c r="K24" s="217"/>
      <c r="L24" s="40">
        <v>0</v>
      </c>
      <c r="M24" s="39">
        <f>AVERAGE(M16:M23)</f>
        <v>-0.11712326531664144</v>
      </c>
      <c r="N24" s="39">
        <f t="shared" ref="N24:AJ24" si="1">AVERAGE(N16:N23)</f>
        <v>-0.10078211203792538</v>
      </c>
      <c r="O24" s="39">
        <f t="shared" si="1"/>
        <v>-0.10308156239301627</v>
      </c>
      <c r="P24" s="39">
        <f t="shared" si="1"/>
        <v>-0.15595670986909904</v>
      </c>
      <c r="Q24" s="39">
        <f t="shared" si="1"/>
        <v>-0.19125511977934376</v>
      </c>
      <c r="R24" s="39">
        <f t="shared" si="1"/>
        <v>-0.17464987244794167</v>
      </c>
      <c r="S24" s="39">
        <f t="shared" si="1"/>
        <v>-0.18193948356459494</v>
      </c>
      <c r="T24" s="39">
        <f t="shared" si="1"/>
        <v>-0.1169369613041597</v>
      </c>
      <c r="U24" s="39">
        <f t="shared" si="1"/>
        <v>-1.0664722838257423E-2</v>
      </c>
      <c r="V24" s="39">
        <f t="shared" si="1"/>
        <v>5.5284738535133784E-2</v>
      </c>
      <c r="W24" s="39">
        <f t="shared" si="1"/>
        <v>0.10691984599430522</v>
      </c>
      <c r="X24" s="39">
        <f t="shared" si="1"/>
        <v>-9.7461329632634541E-2</v>
      </c>
      <c r="Y24" s="39">
        <f t="shared" si="1"/>
        <v>-0.20066179683116991</v>
      </c>
      <c r="Z24" s="39">
        <f t="shared" si="1"/>
        <v>-0.10626601310427403</v>
      </c>
      <c r="AA24" s="39">
        <f t="shared" si="1"/>
        <v>-0.29231480293892514</v>
      </c>
      <c r="AB24" s="39">
        <f t="shared" si="1"/>
        <v>-0.25802246825624575</v>
      </c>
      <c r="AC24" s="39">
        <f t="shared" si="1"/>
        <v>-0.26306187197048581</v>
      </c>
      <c r="AD24" s="39">
        <f t="shared" si="1"/>
        <v>-0.27876510593324905</v>
      </c>
      <c r="AE24" s="39">
        <f t="shared" si="1"/>
        <v>-0.33923875959663047</v>
      </c>
      <c r="AF24" s="39">
        <f t="shared" si="1"/>
        <v>-0.26753785405807018</v>
      </c>
      <c r="AG24" s="39">
        <f t="shared" si="1"/>
        <v>-0.178984476576864</v>
      </c>
      <c r="AH24" s="39">
        <f t="shared" si="1"/>
        <v>-0.20930913704073792</v>
      </c>
      <c r="AI24" s="39">
        <f t="shared" si="1"/>
        <v>-0.21811753091550809</v>
      </c>
      <c r="AJ24" s="38">
        <f t="shared" si="1"/>
        <v>-0.35394223737065095</v>
      </c>
    </row>
    <row r="25" spans="2:36" ht="20" customHeigh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30" hidden="1"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1.05" hidden="1" customHeight="1">
      <c r="J27" s="206" t="s">
        <v>91</v>
      </c>
      <c r="K27" s="207"/>
      <c r="L27" s="158">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52">
        <v>0.15979569178065556</v>
      </c>
    </row>
    <row r="28" spans="2:36" ht="1.05" hidden="1"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0.38842044041457102</v>
      </c>
      <c r="AF28" s="147">
        <v>0.46797880909447076</v>
      </c>
      <c r="AG28" s="147">
        <v>0.43129381818358792</v>
      </c>
      <c r="AH28" s="147">
        <v>0.46996211042729796</v>
      </c>
      <c r="AI28" s="147">
        <v>0.44902672224777396</v>
      </c>
      <c r="AJ28" s="152">
        <v>0.36564289381915693</v>
      </c>
    </row>
    <row r="29" spans="2:36" ht="1.05" hidden="1"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52">
        <v>0.24249812060483178</v>
      </c>
    </row>
    <row r="30" spans="2:36" ht="1.05" hidden="1"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1.05" hidden="1"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0.20531230398190789</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8" spans="10:36" ht="35.25" hidden="1" thickBot="1">
      <c r="J68" s="214" t="s">
        <v>131</v>
      </c>
      <c r="K68" s="21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hidden="1">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hidden="1">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hidden="1">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7.25" hidden="1"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7.25" hidden="1"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J24:K24"/>
    <mergeCell ref="F1:H1"/>
    <mergeCell ref="B2:D3"/>
    <mergeCell ref="J2:K2"/>
    <mergeCell ref="J11:K11"/>
    <mergeCell ref="J15:K15"/>
    <mergeCell ref="J73:K73"/>
    <mergeCell ref="J26:K26"/>
    <mergeCell ref="J27:K27"/>
    <mergeCell ref="J28:K28"/>
    <mergeCell ref="J29:K29"/>
    <mergeCell ref="J30:K30"/>
    <mergeCell ref="J31:K31"/>
    <mergeCell ref="J68:K68"/>
    <mergeCell ref="J69:K69"/>
    <mergeCell ref="J70:K70"/>
    <mergeCell ref="J71:K71"/>
    <mergeCell ref="J72:K72"/>
  </mergeCells>
  <phoneticPr fontId="13" type="noConversion"/>
  <conditionalFormatting sqref="C16:G23">
    <cfRule type="cellIs" dxfId="96" priority="6" operator="between">
      <formula>7</formula>
      <formula>8</formula>
    </cfRule>
    <cfRule type="cellIs" dxfId="95" priority="7" operator="between">
      <formula>1</formula>
      <formula>2</formula>
    </cfRule>
  </conditionalFormatting>
  <conditionalFormatting sqref="F3">
    <cfRule type="cellIs" dxfId="94" priority="2" operator="equal">
      <formula>"GOOD"</formula>
    </cfRule>
    <cfRule type="cellIs" dxfId="93" priority="4" operator="equal">
      <formula>"GOOD"</formula>
    </cfRule>
    <cfRule type="top10" dxfId="92" priority="5" percent="1" rank="10"/>
  </conditionalFormatting>
  <conditionalFormatting sqref="G3">
    <cfRule type="cellIs" dxfId="91" priority="1" operator="equal">
      <formula>"BAD"</formula>
    </cfRule>
    <cfRule type="cellIs" dxfId="90" priority="3" operator="equal">
      <formula>"BAD"</formula>
    </cfRule>
  </conditionalFormatting>
  <pageMargins left="0.7" right="0.7" top="0.75" bottom="0.75" header="0.3" footer="0.3"/>
  <pageSetup paperSize="9" orientation="portrait" horizontalDpi="360" verticalDpi="36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2F626-92A4-9F46-B8FC-0E5C8663165F}">
  <dimension ref="B1:AJ73"/>
  <sheetViews>
    <sheetView topLeftCell="A3" zoomScale="66" zoomScaleNormal="55" workbookViewId="0">
      <selection activeCell="B15" sqref="B15:G2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18"/>
      <c r="G1" s="219"/>
      <c r="H1" s="219"/>
    </row>
    <row r="2" spans="2:36" ht="24" customHeight="1" thickBot="1">
      <c r="B2" s="261" t="s">
        <v>117</v>
      </c>
      <c r="C2" s="262"/>
      <c r="D2" s="263"/>
      <c r="J2" s="226" t="s">
        <v>60</v>
      </c>
      <c r="K2" s="227"/>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64"/>
      <c r="C3" s="265"/>
      <c r="D3" s="266"/>
      <c r="F3" s="188" t="s">
        <v>130</v>
      </c>
      <c r="G3" s="189" t="s">
        <v>129</v>
      </c>
      <c r="J3" s="48" t="s">
        <v>81</v>
      </c>
      <c r="K3" s="190" t="s">
        <v>104</v>
      </c>
      <c r="L3" s="42">
        <v>0</v>
      </c>
      <c r="M3" s="147">
        <v>2.8493150684931523E-2</v>
      </c>
      <c r="N3" s="147">
        <v>-2.082191780821907E-2</v>
      </c>
      <c r="O3" s="147">
        <v>-0.30520547945205467</v>
      </c>
      <c r="P3" s="147">
        <v>-0.24876712328767103</v>
      </c>
      <c r="Q3" s="147">
        <v>-0.28821917808219166</v>
      </c>
      <c r="R3" s="147">
        <v>-0.34027397260273973</v>
      </c>
      <c r="S3" s="147">
        <v>-0.22301369863013698</v>
      </c>
      <c r="T3" s="147">
        <v>-0.20931506849315062</v>
      </c>
      <c r="U3" s="147">
        <v>-0.30301369863013694</v>
      </c>
      <c r="V3" s="147">
        <v>-0.11561643835616431</v>
      </c>
      <c r="W3" s="147">
        <v>-0.12438356164383557</v>
      </c>
      <c r="X3" s="147">
        <v>-0.19178082191780821</v>
      </c>
      <c r="Y3" s="147">
        <v>-0.25260273972602731</v>
      </c>
      <c r="Z3" s="147">
        <v>-0.19013698630136988</v>
      </c>
      <c r="AA3" s="147">
        <v>-1.69863013698629E-2</v>
      </c>
      <c r="AB3" s="147">
        <v>-8.2191780821917693E-2</v>
      </c>
      <c r="AC3" s="147">
        <v>-0.19287671232876702</v>
      </c>
      <c r="AD3" s="147">
        <v>-0.29808219178082185</v>
      </c>
      <c r="AE3" s="147">
        <v>-0.38904109589041092</v>
      </c>
      <c r="AF3" s="147">
        <v>-0.31890410958904114</v>
      </c>
      <c r="AG3" s="147">
        <v>-0.24712328767123293</v>
      </c>
      <c r="AH3" s="147">
        <v>-0.22027397260273973</v>
      </c>
      <c r="AI3" s="147">
        <v>-0.14082191780821918</v>
      </c>
      <c r="AJ3" s="152">
        <v>-0.15890410958904111</v>
      </c>
    </row>
    <row r="4" spans="2:36" ht="24" customHeight="1" thickBot="1">
      <c r="J4" s="43" t="s">
        <v>81</v>
      </c>
      <c r="K4" s="191" t="s">
        <v>101</v>
      </c>
      <c r="L4" s="45">
        <v>0</v>
      </c>
      <c r="M4" s="147">
        <v>-4.4342507645259932E-2</v>
      </c>
      <c r="N4" s="147">
        <v>-7.9701834862385357E-2</v>
      </c>
      <c r="O4" s="147">
        <v>-0.30358053007135566</v>
      </c>
      <c r="P4" s="147">
        <v>-0.28994648318042804</v>
      </c>
      <c r="Q4" s="147">
        <v>-0.40577217125382259</v>
      </c>
      <c r="R4" s="147">
        <v>-0.55058613659531086</v>
      </c>
      <c r="S4" s="147">
        <v>-0.53784403669724756</v>
      </c>
      <c r="T4" s="147">
        <v>-0.4912716615698266</v>
      </c>
      <c r="U4" s="147">
        <v>-0.58135830784913356</v>
      </c>
      <c r="V4" s="147">
        <v>-0.47024719673802229</v>
      </c>
      <c r="W4" s="147">
        <v>-0.36850152905198763</v>
      </c>
      <c r="X4" s="147">
        <v>-0.43361365953109066</v>
      </c>
      <c r="Y4" s="147">
        <v>-0.36015545361875634</v>
      </c>
      <c r="Z4" s="147">
        <v>-0.39965596330275222</v>
      </c>
      <c r="AA4" s="147">
        <v>-0.22241335372069315</v>
      </c>
      <c r="AB4" s="147">
        <v>-0.2382772680937818</v>
      </c>
      <c r="AC4" s="147">
        <v>-0.45291794087665638</v>
      </c>
      <c r="AD4" s="147">
        <v>-0.52395514780835883</v>
      </c>
      <c r="AE4" s="147">
        <v>-0.58741080530071343</v>
      </c>
      <c r="AF4" s="147">
        <v>-0.57581549439347612</v>
      </c>
      <c r="AG4" s="147">
        <v>-0.48318042813455653</v>
      </c>
      <c r="AH4" s="147">
        <v>-0.50949286442405706</v>
      </c>
      <c r="AI4" s="147">
        <v>-0.54466106014271154</v>
      </c>
      <c r="AJ4" s="152">
        <v>-0.52580275229357787</v>
      </c>
    </row>
    <row r="5" spans="2:36" ht="24" customHeight="1">
      <c r="B5" s="51"/>
      <c r="C5" s="50">
        <v>2021</v>
      </c>
      <c r="D5" s="50">
        <v>2022</v>
      </c>
      <c r="E5" s="50">
        <v>2023</v>
      </c>
      <c r="F5" s="50">
        <v>2024</v>
      </c>
      <c r="G5" s="49">
        <v>2025</v>
      </c>
      <c r="J5" s="44" t="s">
        <v>82</v>
      </c>
      <c r="K5" s="192" t="s">
        <v>102</v>
      </c>
      <c r="L5" s="46">
        <v>0</v>
      </c>
      <c r="M5" s="147">
        <v>-1.7460787215152318E-2</v>
      </c>
      <c r="N5" s="147">
        <v>4.0248594258656345E-2</v>
      </c>
      <c r="O5" s="147">
        <v>0.36134951168984908</v>
      </c>
      <c r="P5" s="147">
        <v>0.32465226398342706</v>
      </c>
      <c r="Q5" s="147">
        <v>0.23054158034921568</v>
      </c>
      <c r="R5" s="147">
        <v>6.1852619118082375E-2</v>
      </c>
      <c r="S5" s="147">
        <v>-0.10328499556081672</v>
      </c>
      <c r="T5" s="147">
        <v>6.2740455756140845E-2</v>
      </c>
      <c r="U5" s="147">
        <v>0.15773897602841069</v>
      </c>
      <c r="V5" s="147">
        <v>0.12636874815034038</v>
      </c>
      <c r="W5" s="147">
        <v>0.21633619414027816</v>
      </c>
      <c r="X5" s="147">
        <v>0.38088191772713809</v>
      </c>
      <c r="Y5" s="147">
        <v>0.44421426457531821</v>
      </c>
      <c r="Z5" s="147">
        <v>0.47173720035513478</v>
      </c>
      <c r="AA5" s="147">
        <v>0.3711157147084938</v>
      </c>
      <c r="AB5" s="147">
        <v>0.24326723882805568</v>
      </c>
      <c r="AC5" s="147">
        <v>0.23231725362533306</v>
      </c>
      <c r="AD5" s="147">
        <v>0.47292098253921311</v>
      </c>
      <c r="AE5" s="147">
        <v>0.65936667653151848</v>
      </c>
      <c r="AF5" s="147">
        <v>0.85646641018052705</v>
      </c>
      <c r="AG5" s="147">
        <v>0.75969221663214026</v>
      </c>
      <c r="AH5" s="147">
        <v>0.95679195028114905</v>
      </c>
      <c r="AI5" s="147">
        <v>0.74874223142941765</v>
      </c>
      <c r="AJ5" s="152">
        <v>0.27138206569991175</v>
      </c>
    </row>
    <row r="6" spans="2:36" ht="24" customHeight="1">
      <c r="B6" s="47" t="s">
        <v>69</v>
      </c>
      <c r="C6" s="170">
        <v>0.28056591820933341</v>
      </c>
      <c r="D6" s="171">
        <v>-1.9331760407945809E-2</v>
      </c>
      <c r="E6" s="171">
        <v>-0.14944095991273521</v>
      </c>
      <c r="F6" s="171">
        <v>-0.1843338054254276</v>
      </c>
      <c r="G6" s="172">
        <v>-2.881619937694704E-2</v>
      </c>
      <c r="H6" s="1"/>
      <c r="J6" s="43" t="s">
        <v>82</v>
      </c>
      <c r="K6" s="191" t="s">
        <v>96</v>
      </c>
      <c r="L6" s="45">
        <v>0</v>
      </c>
      <c r="M6" s="147">
        <v>-1.0169491525423791E-2</v>
      </c>
      <c r="N6" s="147">
        <v>7.2768361581920793E-2</v>
      </c>
      <c r="O6" s="147">
        <v>0.23999999999999977</v>
      </c>
      <c r="P6" s="147">
        <v>0.22734463276836148</v>
      </c>
      <c r="Q6" s="147">
        <v>0.12564971751412424</v>
      </c>
      <c r="R6" s="147">
        <v>-4.4067796610169574E-2</v>
      </c>
      <c r="S6" s="147">
        <v>-0.20881355932203394</v>
      </c>
      <c r="T6" s="147">
        <v>-0.10960451977401131</v>
      </c>
      <c r="U6" s="147">
        <v>-6.7570621468926562E-2</v>
      </c>
      <c r="V6" s="147">
        <v>-6.4858757062146832E-2</v>
      </c>
      <c r="W6" s="147">
        <v>2.8022598870056648E-2</v>
      </c>
      <c r="X6" s="147">
        <v>8.2033898305085007E-2</v>
      </c>
      <c r="Y6" s="147">
        <v>0.16293785310734488</v>
      </c>
      <c r="Z6" s="147">
        <v>0.19751412429378568</v>
      </c>
      <c r="AA6" s="147">
        <v>9.9661016949152748E-2</v>
      </c>
      <c r="AB6" s="147">
        <v>2.6440677966101944E-2</v>
      </c>
      <c r="AC6" s="147">
        <v>-4.7457627118642209E-3</v>
      </c>
      <c r="AD6" s="147">
        <v>0.28949152542372913</v>
      </c>
      <c r="AE6" s="147">
        <v>0.76858757062146954</v>
      </c>
      <c r="AF6" s="147">
        <v>1.1882485875706221</v>
      </c>
      <c r="AG6" s="147">
        <v>1.194350282485876</v>
      </c>
      <c r="AH6" s="147">
        <v>1.3918644067796615</v>
      </c>
      <c r="AI6" s="147">
        <v>1.1200000000000006</v>
      </c>
      <c r="AJ6" s="152">
        <v>0.56045197740113029</v>
      </c>
    </row>
    <row r="7" spans="2:36" ht="24" customHeight="1">
      <c r="B7" s="47" t="s">
        <v>70</v>
      </c>
      <c r="C7" s="173">
        <v>0.10129600829445308</v>
      </c>
      <c r="D7" s="174">
        <v>5.1087626178854081E-2</v>
      </c>
      <c r="E7" s="174">
        <v>4.3863786435241955E-2</v>
      </c>
      <c r="F7" s="174">
        <v>4.4572250179726818E-2</v>
      </c>
      <c r="G7" s="175">
        <v>4.8115214663684472E-2</v>
      </c>
      <c r="H7" s="1"/>
      <c r="J7" s="44" t="s">
        <v>83</v>
      </c>
      <c r="K7" s="192" t="s">
        <v>102</v>
      </c>
      <c r="L7" s="46">
        <v>0</v>
      </c>
      <c r="M7" s="147">
        <v>4.5863694813544909E-2</v>
      </c>
      <c r="N7" s="147">
        <v>6.5795113587655552E-2</v>
      </c>
      <c r="O7" s="147">
        <v>-7.0724389198455473E-3</v>
      </c>
      <c r="P7" s="147">
        <v>-9.9657093870552882E-2</v>
      </c>
      <c r="Q7" s="147">
        <v>-0.10758679811401617</v>
      </c>
      <c r="R7" s="147">
        <v>6.6652378911273402E-2</v>
      </c>
      <c r="S7" s="147">
        <v>0.2016716673810548</v>
      </c>
      <c r="T7" s="147">
        <v>0.34440634376339507</v>
      </c>
      <c r="U7" s="147">
        <v>0.2743249035576516</v>
      </c>
      <c r="V7" s="147">
        <v>0.4170595799399921</v>
      </c>
      <c r="W7" s="147">
        <v>0.26639519931418842</v>
      </c>
      <c r="X7" s="147">
        <v>-7.9297042434632981E-2</v>
      </c>
      <c r="Y7" s="147">
        <v>-0.12087441063008952</v>
      </c>
      <c r="Z7" s="147">
        <v>2.1860265752250863E-2</v>
      </c>
      <c r="AA7" s="147">
        <v>4.1577368195456987E-2</v>
      </c>
      <c r="AB7" s="147">
        <v>0.12687526789541415</v>
      </c>
      <c r="AC7" s="147">
        <v>0.31290184312044644</v>
      </c>
      <c r="AD7" s="147">
        <v>0.20595799399914339</v>
      </c>
      <c r="AE7" s="147">
        <v>0.21945992284612137</v>
      </c>
      <c r="AF7" s="147">
        <v>0.36648092584655001</v>
      </c>
      <c r="AG7" s="147">
        <v>0.47942563223317691</v>
      </c>
      <c r="AH7" s="147">
        <v>0.40462923274753626</v>
      </c>
      <c r="AI7" s="147">
        <v>0.40055722246035197</v>
      </c>
      <c r="AJ7" s="152">
        <v>0.42091727389627143</v>
      </c>
    </row>
    <row r="8" spans="2:36" ht="24" customHeight="1">
      <c r="B8" s="47" t="s">
        <v>71</v>
      </c>
      <c r="C8" s="173">
        <v>-0.24285714285714285</v>
      </c>
      <c r="D8" s="174">
        <v>-7.1222329162656403E-2</v>
      </c>
      <c r="E8" s="174">
        <v>-2.1653543307086614E-2</v>
      </c>
      <c r="F8" s="174">
        <v>0.15301530153015303</v>
      </c>
      <c r="G8" s="175">
        <v>-0.25022831050228311</v>
      </c>
      <c r="J8" s="43" t="s">
        <v>83</v>
      </c>
      <c r="K8" s="191" t="s">
        <v>96</v>
      </c>
      <c r="L8" s="45">
        <v>0</v>
      </c>
      <c r="M8" s="147">
        <v>7.4770258980785265E-2</v>
      </c>
      <c r="N8" s="147">
        <v>0.10672514619883056</v>
      </c>
      <c r="O8" s="147">
        <v>1.6290726817042689E-2</v>
      </c>
      <c r="P8" s="147">
        <v>-5.1378446115288079E-2</v>
      </c>
      <c r="Q8" s="147">
        <v>-8.0200501253132717E-2</v>
      </c>
      <c r="R8" s="147">
        <v>0.19172932330827086</v>
      </c>
      <c r="S8" s="147">
        <v>0.63450292397660846</v>
      </c>
      <c r="T8" s="147">
        <v>1.0223475355054301</v>
      </c>
      <c r="U8" s="147">
        <v>1.0279866332497911</v>
      </c>
      <c r="V8" s="147">
        <v>1.2105263157894739</v>
      </c>
      <c r="W8" s="147">
        <v>0.95927318295739372</v>
      </c>
      <c r="X8" s="147">
        <v>0.44214703425229751</v>
      </c>
      <c r="Y8" s="147">
        <v>0.43734335839599003</v>
      </c>
      <c r="Z8" s="147">
        <v>0.65914786967418548</v>
      </c>
      <c r="AA8" s="147">
        <v>0.66311612364243966</v>
      </c>
      <c r="AB8" s="147">
        <v>0.84440267335004227</v>
      </c>
      <c r="AC8" s="147">
        <v>1.1929824561403515</v>
      </c>
      <c r="AD8" s="147">
        <v>1.0154553049289894</v>
      </c>
      <c r="AE8" s="147">
        <v>0.96407685881370142</v>
      </c>
      <c r="AF8" s="147">
        <v>1.1294903926482878</v>
      </c>
      <c r="AG8" s="147">
        <v>1.3354218880534678</v>
      </c>
      <c r="AH8" s="147">
        <v>1.1370091896407692</v>
      </c>
      <c r="AI8" s="147">
        <v>1.2201336675020893</v>
      </c>
      <c r="AJ8" s="152">
        <v>0.92293233082706805</v>
      </c>
    </row>
    <row r="9" spans="2:36" ht="24" customHeight="1">
      <c r="B9" s="47" t="s">
        <v>72</v>
      </c>
      <c r="C9" s="173">
        <v>0.1579404185832447</v>
      </c>
      <c r="D9" s="174">
        <v>2.0398895366676895E-3</v>
      </c>
      <c r="E9" s="174">
        <v>9.2259002423450281E-2</v>
      </c>
      <c r="F9" s="174">
        <v>-0.19871196781408398</v>
      </c>
      <c r="G9" s="175">
        <v>-4.1732744056069415E-2</v>
      </c>
      <c r="J9" s="44" t="s">
        <v>84</v>
      </c>
      <c r="K9" s="190" t="s">
        <v>96</v>
      </c>
      <c r="L9" s="42">
        <v>0</v>
      </c>
      <c r="M9" s="147">
        <v>-3.3309196234613259E-3</v>
      </c>
      <c r="N9" s="147">
        <v>0.15047067342505427</v>
      </c>
      <c r="O9" s="147">
        <v>0.1532223026792181</v>
      </c>
      <c r="P9" s="147">
        <v>0.27892831281679986</v>
      </c>
      <c r="Q9" s="147">
        <v>0.52063721940622787</v>
      </c>
      <c r="R9" s="147">
        <v>0.39753801593048554</v>
      </c>
      <c r="S9" s="147">
        <v>0.36191165821868254</v>
      </c>
      <c r="T9" s="147">
        <v>0.47661115133960918</v>
      </c>
      <c r="U9" s="147">
        <v>0.61940622737147022</v>
      </c>
      <c r="V9" s="147">
        <v>0.48182476466328783</v>
      </c>
      <c r="W9" s="147">
        <v>0.53946415640839995</v>
      </c>
      <c r="X9" s="147">
        <v>0.33338160753077495</v>
      </c>
      <c r="Y9" s="147">
        <v>0.30340333091962357</v>
      </c>
      <c r="Z9" s="147">
        <v>0.63099203475742249</v>
      </c>
      <c r="AJ9" s="41"/>
    </row>
    <row r="10" spans="2:36" ht="24" customHeight="1" thickBot="1">
      <c r="B10" s="63" t="s">
        <v>75</v>
      </c>
      <c r="C10" s="173">
        <v>-1.3341152323706201E-2</v>
      </c>
      <c r="D10" s="174">
        <v>-2.7750095822154083E-2</v>
      </c>
      <c r="E10" s="174">
        <v>-2.2377824297985995E-2</v>
      </c>
      <c r="F10" s="174">
        <v>-4.0555786473487322E-2</v>
      </c>
      <c r="G10" s="175">
        <v>-3.3856366928183466E-2</v>
      </c>
      <c r="J10" s="43" t="s">
        <v>84</v>
      </c>
      <c r="K10" s="190" t="s">
        <v>102</v>
      </c>
      <c r="L10" s="42">
        <v>0</v>
      </c>
      <c r="M10" s="147">
        <v>-4.5158286778398504E-2</v>
      </c>
      <c r="N10" s="147">
        <v>0.10986964618249528</v>
      </c>
      <c r="O10" s="147">
        <v>0.13128491620111715</v>
      </c>
      <c r="P10" s="147">
        <v>0.22392923649906882</v>
      </c>
      <c r="Q10" s="147">
        <v>0.42597765363128492</v>
      </c>
      <c r="R10" s="147">
        <v>0.30982309124767227</v>
      </c>
      <c r="S10" s="147">
        <v>0.32448789571694592</v>
      </c>
      <c r="T10" s="147">
        <v>0.48417132216014891</v>
      </c>
      <c r="U10" s="147">
        <v>0.60684357541899447</v>
      </c>
      <c r="V10" s="147">
        <v>0.52560521415270034</v>
      </c>
      <c r="W10" s="147">
        <v>0.52118249534450634</v>
      </c>
      <c r="X10" s="147">
        <v>0.54329608938547458</v>
      </c>
      <c r="Y10" s="147">
        <v>0.57844506517690863</v>
      </c>
      <c r="Z10" s="147">
        <v>0.89897579143389184</v>
      </c>
      <c r="AA10" s="153"/>
      <c r="AB10" s="153"/>
      <c r="AC10" s="153"/>
      <c r="AD10" s="153"/>
      <c r="AE10" s="153"/>
      <c r="AF10" s="153"/>
      <c r="AG10" s="153"/>
      <c r="AH10" s="153"/>
      <c r="AI10" s="153"/>
      <c r="AJ10" s="154"/>
    </row>
    <row r="11" spans="2:36" ht="24" customHeight="1" thickBot="1">
      <c r="B11" s="47" t="s">
        <v>76</v>
      </c>
      <c r="C11" s="173">
        <v>0.1408160259242893</v>
      </c>
      <c r="D11" s="174">
        <v>1.5229092818695025E-2</v>
      </c>
      <c r="E11" s="174">
        <v>5.9276075167108082E-2</v>
      </c>
      <c r="F11" s="174">
        <v>9.3105480259281087E-2</v>
      </c>
      <c r="G11" s="175">
        <v>2.3557126030624265E-2</v>
      </c>
      <c r="J11" s="216" t="s">
        <v>58</v>
      </c>
      <c r="K11" s="217"/>
      <c r="L11" s="40">
        <v>0</v>
      </c>
      <c r="M11" s="39">
        <f t="shared" ref="M11:AJ11" si="0">AVERAGE(M3:M10)</f>
        <v>3.5831389614457282E-3</v>
      </c>
      <c r="N11" s="39">
        <f t="shared" si="0"/>
        <v>5.5669222820501046E-2</v>
      </c>
      <c r="O11" s="39">
        <f t="shared" si="0"/>
        <v>3.5786126117996364E-2</v>
      </c>
      <c r="P11" s="39">
        <f t="shared" si="0"/>
        <v>4.5638162451714648E-2</v>
      </c>
      <c r="Q11" s="39">
        <f t="shared" si="0"/>
        <v>5.2628440274711197E-2</v>
      </c>
      <c r="R11" s="39">
        <f t="shared" si="0"/>
        <v>1.1583440338445536E-2</v>
      </c>
      <c r="S11" s="39">
        <f t="shared" si="0"/>
        <v>5.6202231885382065E-2</v>
      </c>
      <c r="T11" s="39">
        <f t="shared" si="0"/>
        <v>0.19751069483596695</v>
      </c>
      <c r="U11" s="39">
        <f t="shared" si="0"/>
        <v>0.21679471095976513</v>
      </c>
      <c r="V11" s="39">
        <f t="shared" si="0"/>
        <v>0.26383277881743261</v>
      </c>
      <c r="W11" s="39">
        <f t="shared" si="0"/>
        <v>0.25472359204237499</v>
      </c>
      <c r="X11" s="39">
        <f t="shared" si="0"/>
        <v>0.13463112791465479</v>
      </c>
      <c r="Y11" s="39">
        <f t="shared" si="0"/>
        <v>0.14908890852503903</v>
      </c>
      <c r="Z11" s="39">
        <f t="shared" si="0"/>
        <v>0.2863042920828186</v>
      </c>
      <c r="AA11" s="39">
        <f t="shared" si="0"/>
        <v>0.1560117614008312</v>
      </c>
      <c r="AB11" s="39">
        <f t="shared" si="0"/>
        <v>0.15341946818731908</v>
      </c>
      <c r="AC11" s="39">
        <f t="shared" si="0"/>
        <v>0.1812768561614739</v>
      </c>
      <c r="AD11" s="39">
        <f t="shared" si="0"/>
        <v>0.19363141121698238</v>
      </c>
      <c r="AE11" s="39">
        <f t="shared" si="0"/>
        <v>0.27250652127028108</v>
      </c>
      <c r="AF11" s="39">
        <f t="shared" si="0"/>
        <v>0.44099445204391169</v>
      </c>
      <c r="AG11" s="39">
        <f t="shared" si="0"/>
        <v>0.50643105059981197</v>
      </c>
      <c r="AH11" s="39">
        <f t="shared" si="0"/>
        <v>0.5267546570703866</v>
      </c>
      <c r="AI11" s="39">
        <f t="shared" si="0"/>
        <v>0.46732502390682146</v>
      </c>
      <c r="AJ11" s="38">
        <f t="shared" si="0"/>
        <v>0.24849613099029377</v>
      </c>
    </row>
    <row r="12" spans="2:36" ht="24" customHeight="1">
      <c r="B12" s="64" t="s">
        <v>74</v>
      </c>
      <c r="C12" s="173">
        <v>-0.35744835744835746</v>
      </c>
      <c r="D12" s="174">
        <v>0.12360587002096436</v>
      </c>
      <c r="E12" s="174">
        <v>0.32281134401972872</v>
      </c>
      <c r="F12" s="174">
        <v>0.28628574026092096</v>
      </c>
      <c r="G12" s="175">
        <v>0.23986836928139643</v>
      </c>
    </row>
    <row r="13" spans="2:36" ht="24" customHeight="1" thickBot="1">
      <c r="B13" s="65" t="s">
        <v>73</v>
      </c>
      <c r="C13" s="176">
        <v>0.10330197380557093</v>
      </c>
      <c r="D13" s="177">
        <v>0.25179100200592225</v>
      </c>
      <c r="E13" s="177">
        <v>0.52117374342737599</v>
      </c>
      <c r="F13" s="177">
        <v>0.26191378134707177</v>
      </c>
      <c r="G13" s="178">
        <v>0.27693244065733413</v>
      </c>
    </row>
    <row r="14" spans="2:36" ht="24" customHeight="1" thickBot="1"/>
    <row r="15" spans="2:36" ht="24" customHeight="1" thickBot="1">
      <c r="B15" s="51"/>
      <c r="C15" s="50">
        <v>2021</v>
      </c>
      <c r="D15" s="50">
        <v>2022</v>
      </c>
      <c r="E15" s="50">
        <v>2023</v>
      </c>
      <c r="F15" s="50">
        <v>2024</v>
      </c>
      <c r="G15" s="49">
        <v>2025</v>
      </c>
      <c r="J15" s="228" t="s">
        <v>59</v>
      </c>
      <c r="K15" s="229"/>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1</v>
      </c>
      <c r="D16" s="84">
        <v>6</v>
      </c>
      <c r="E16" s="84">
        <v>8</v>
      </c>
      <c r="F16" s="84">
        <v>7</v>
      </c>
      <c r="G16" s="85">
        <v>5</v>
      </c>
      <c r="J16" s="48" t="s">
        <v>81</v>
      </c>
      <c r="K16" s="197" t="s">
        <v>98</v>
      </c>
      <c r="L16" s="42">
        <v>0</v>
      </c>
      <c r="M16" s="147">
        <v>-6.3548102383053862E-2</v>
      </c>
      <c r="N16" s="147">
        <v>-5.1191526919682206E-2</v>
      </c>
      <c r="O16" s="147">
        <v>-0.17299205648720217</v>
      </c>
      <c r="P16" s="147">
        <v>0.27802294792586069</v>
      </c>
      <c r="Q16" s="147">
        <v>0.13857016769638153</v>
      </c>
      <c r="R16" s="147">
        <v>-0.14386584289496906</v>
      </c>
      <c r="S16" s="147">
        <v>0.15710503089143879</v>
      </c>
      <c r="T16" s="147">
        <v>0.15092674315975296</v>
      </c>
      <c r="U16" s="147">
        <v>-9.3556928508384707E-2</v>
      </c>
      <c r="V16" s="147">
        <v>0.1103265666372466</v>
      </c>
      <c r="W16" s="147">
        <v>3.7952338923213036E-2</v>
      </c>
      <c r="X16" s="147">
        <v>-0.13150926743159719</v>
      </c>
      <c r="Y16" s="147">
        <v>-0.1624007060900261</v>
      </c>
      <c r="Z16" s="147">
        <v>-0.27360988526037033</v>
      </c>
      <c r="AA16" s="147">
        <v>-0.14651368049426261</v>
      </c>
      <c r="AB16" s="147">
        <v>-0.17917034421888745</v>
      </c>
      <c r="AC16" s="147">
        <v>-0.44571932921447455</v>
      </c>
      <c r="AD16" s="147">
        <v>-0.57281553398058227</v>
      </c>
      <c r="AE16" s="147">
        <v>-0.70079435127978806</v>
      </c>
      <c r="AF16" s="147">
        <v>-0.6548984995586935</v>
      </c>
      <c r="AG16" s="147">
        <v>-0.51809355692850811</v>
      </c>
      <c r="AH16" s="147">
        <v>-0.57016769638128828</v>
      </c>
      <c r="AI16" s="147">
        <v>-0.38746690203000833</v>
      </c>
      <c r="AJ16" s="152">
        <v>-0.28420123565754574</v>
      </c>
    </row>
    <row r="17" spans="2:36" ht="24" customHeight="1">
      <c r="B17" s="47" t="s">
        <v>70</v>
      </c>
      <c r="C17" s="84">
        <v>5</v>
      </c>
      <c r="D17" s="84">
        <v>3</v>
      </c>
      <c r="E17" s="84">
        <v>5</v>
      </c>
      <c r="F17" s="84">
        <v>5</v>
      </c>
      <c r="G17" s="85">
        <v>3</v>
      </c>
      <c r="J17" s="43" t="s">
        <v>81</v>
      </c>
      <c r="K17" s="198" t="s">
        <v>96</v>
      </c>
      <c r="L17" s="45">
        <v>0</v>
      </c>
      <c r="M17" s="147">
        <v>8.9301121656600424E-2</v>
      </c>
      <c r="N17" s="147">
        <v>2.7394305435720412E-2</v>
      </c>
      <c r="O17" s="147">
        <v>-0.235979292493529</v>
      </c>
      <c r="P17" s="147">
        <v>-0.20729076790336509</v>
      </c>
      <c r="Q17" s="147">
        <v>-0.24482312338222623</v>
      </c>
      <c r="R17" s="147">
        <v>-0.29831751509922355</v>
      </c>
      <c r="S17" s="147">
        <v>-7.0750647109577458E-2</v>
      </c>
      <c r="T17" s="147">
        <v>-4.7238999137187432E-2</v>
      </c>
      <c r="U17" s="147">
        <v>-0.1867989646246766</v>
      </c>
      <c r="V17" s="147">
        <v>5.6082830025884212E-2</v>
      </c>
      <c r="W17" s="147">
        <v>0.12079378774805849</v>
      </c>
      <c r="X17" s="147">
        <v>-4.5513373597929396E-2</v>
      </c>
      <c r="Y17" s="147">
        <v>-5.5220017256255582E-2</v>
      </c>
      <c r="Z17" s="147">
        <v>2.3943054357204119E-2</v>
      </c>
      <c r="AA17" s="147">
        <v>0.18356341673856713</v>
      </c>
      <c r="AB17" s="147">
        <v>0.17148403796376144</v>
      </c>
      <c r="AC17" s="147">
        <v>7.441760138050002E-2</v>
      </c>
      <c r="AD17" s="147">
        <v>-8.7575496117342944E-2</v>
      </c>
      <c r="AE17" s="147">
        <v>-0.24482312338222634</v>
      </c>
      <c r="AF17" s="147">
        <v>-0.15012942191544465</v>
      </c>
      <c r="AG17" s="147">
        <v>-0.11000862812769663</v>
      </c>
      <c r="AH17" s="147">
        <v>-0.10742018981880963</v>
      </c>
      <c r="AI17" s="147">
        <v>-1.87661777394309E-2</v>
      </c>
      <c r="AJ17" s="152">
        <v>3.2786885245901232E-2</v>
      </c>
    </row>
    <row r="18" spans="2:36" ht="24" customHeight="1">
      <c r="B18" s="47" t="s">
        <v>71</v>
      </c>
      <c r="C18" s="86">
        <v>7</v>
      </c>
      <c r="D18" s="86">
        <v>8</v>
      </c>
      <c r="E18" s="86">
        <v>6</v>
      </c>
      <c r="F18" s="86">
        <v>3</v>
      </c>
      <c r="G18" s="87">
        <v>8</v>
      </c>
      <c r="J18" s="44" t="s">
        <v>82</v>
      </c>
      <c r="K18" s="199" t="s">
        <v>113</v>
      </c>
      <c r="L18" s="46">
        <v>0</v>
      </c>
      <c r="M18" s="147">
        <v>-1.9230769230769273E-2</v>
      </c>
      <c r="N18" s="147">
        <v>-6.1813186813186816E-2</v>
      </c>
      <c r="O18" s="147">
        <v>0.21703296703296693</v>
      </c>
      <c r="P18" s="147">
        <v>6.7307692307692291E-2</v>
      </c>
      <c r="Q18" s="147">
        <v>-0.1868131868131867</v>
      </c>
      <c r="R18" s="147">
        <v>-0.36813186813186805</v>
      </c>
      <c r="S18" s="147">
        <v>-0.48351648351648346</v>
      </c>
      <c r="T18" s="147">
        <v>-0.39285714285714279</v>
      </c>
      <c r="U18" s="147">
        <v>-0.23763736263736257</v>
      </c>
      <c r="V18" s="147">
        <v>-0.27060439560439553</v>
      </c>
      <c r="W18" s="147">
        <v>-0.10989010989010972</v>
      </c>
      <c r="X18" s="147">
        <v>1.9230769230769384E-2</v>
      </c>
      <c r="Y18" s="147">
        <v>-0.21978021978021967</v>
      </c>
      <c r="Z18" s="147">
        <v>-0.23214285714285698</v>
      </c>
      <c r="AA18" s="147">
        <v>-0.16346153846153832</v>
      </c>
      <c r="AB18" s="147">
        <v>-0.11950549450549419</v>
      </c>
      <c r="AC18" s="147">
        <v>-0.30219780219780201</v>
      </c>
      <c r="AD18" s="147">
        <v>-9.8901098901098661E-2</v>
      </c>
      <c r="AE18" s="147">
        <v>-0.21703296703296671</v>
      </c>
      <c r="AF18" s="147">
        <v>-0.17994505494505464</v>
      </c>
      <c r="AG18" s="147">
        <v>7.9670329670330275E-2</v>
      </c>
      <c r="AH18" s="147">
        <v>-9.6153846153845701E-2</v>
      </c>
      <c r="AI18" s="147">
        <v>-0.10439560439560402</v>
      </c>
      <c r="AJ18" s="152">
        <v>-0.3379120879120876</v>
      </c>
    </row>
    <row r="19" spans="2:36" ht="23" customHeight="1">
      <c r="B19" s="47" t="s">
        <v>72</v>
      </c>
      <c r="C19" s="86">
        <v>2</v>
      </c>
      <c r="D19" s="86">
        <v>5</v>
      </c>
      <c r="E19" s="86">
        <v>3</v>
      </c>
      <c r="F19" s="86">
        <v>8</v>
      </c>
      <c r="G19" s="87">
        <v>7</v>
      </c>
      <c r="J19" s="43" t="s">
        <v>82</v>
      </c>
      <c r="K19" s="198" t="s">
        <v>98</v>
      </c>
      <c r="L19" s="45">
        <v>0</v>
      </c>
      <c r="M19" s="147">
        <v>-3.5569105691056868E-2</v>
      </c>
      <c r="N19" s="147">
        <v>-0.16361788617886164</v>
      </c>
      <c r="O19" s="147">
        <v>-1.7276422764227584E-2</v>
      </c>
      <c r="P19" s="147">
        <v>-5.4878048780487743E-2</v>
      </c>
      <c r="Q19" s="147">
        <v>-0.36178861788617878</v>
      </c>
      <c r="R19" s="147">
        <v>-0.50813008130081294</v>
      </c>
      <c r="S19" s="147">
        <v>-0.65548780487804881</v>
      </c>
      <c r="T19" s="147">
        <v>-0.60264227642276413</v>
      </c>
      <c r="U19" s="147">
        <v>-0.44512195121951215</v>
      </c>
      <c r="V19" s="147">
        <v>-0.50508130081300806</v>
      </c>
      <c r="W19" s="147">
        <v>-0.2947154471544714</v>
      </c>
      <c r="X19" s="147">
        <v>-0.17581300813008116</v>
      </c>
      <c r="Y19" s="147">
        <v>-0.38617886178861771</v>
      </c>
      <c r="Z19" s="147">
        <v>-0.44410569105691045</v>
      </c>
      <c r="AA19" s="147">
        <v>-0.4989837398373983</v>
      </c>
      <c r="AB19" s="147">
        <v>-0.59949186991869907</v>
      </c>
      <c r="AC19" s="147">
        <v>-0.63109756097560976</v>
      </c>
      <c r="AD19" s="147">
        <v>-0.45630081300813008</v>
      </c>
      <c r="AE19" s="147">
        <v>-0.38211382113821135</v>
      </c>
      <c r="AF19" s="147">
        <v>-0.40752032520325199</v>
      </c>
      <c r="AG19" s="147">
        <v>-0.27743902439024382</v>
      </c>
      <c r="AH19" s="147">
        <v>-0.14329268292682917</v>
      </c>
      <c r="AI19" s="147">
        <v>-0.26829268292682917</v>
      </c>
      <c r="AJ19" s="152">
        <v>-0.55894308943089421</v>
      </c>
    </row>
    <row r="20" spans="2:36" ht="23.65" customHeight="1">
      <c r="B20" s="63" t="s">
        <v>75</v>
      </c>
      <c r="C20" s="88">
        <v>6</v>
      </c>
      <c r="D20" s="89">
        <v>7</v>
      </c>
      <c r="E20" s="89">
        <v>7</v>
      </c>
      <c r="F20" s="89">
        <v>6</v>
      </c>
      <c r="G20" s="90">
        <v>6</v>
      </c>
      <c r="J20" s="44" t="s">
        <v>83</v>
      </c>
      <c r="K20" s="199" t="s">
        <v>113</v>
      </c>
      <c r="L20" s="46">
        <v>0</v>
      </c>
      <c r="M20" s="147">
        <v>-0.23450134770889486</v>
      </c>
      <c r="N20" s="147">
        <v>-0.24663072776280315</v>
      </c>
      <c r="O20" s="147">
        <v>-0.17924528301886788</v>
      </c>
      <c r="P20" s="147">
        <v>-0.1361185983827492</v>
      </c>
      <c r="Q20" s="147">
        <v>-0.3153638814016172</v>
      </c>
      <c r="R20" s="147">
        <v>-0.11590296495956875</v>
      </c>
      <c r="S20" s="147">
        <v>-0.2318059299191374</v>
      </c>
      <c r="T20" s="147">
        <v>-0.19541778975741242</v>
      </c>
      <c r="U20" s="147">
        <v>5.9299191374663218E-2</v>
      </c>
      <c r="V20" s="147">
        <v>-0.11320754716981118</v>
      </c>
      <c r="W20" s="147">
        <v>-0.12129380053908345</v>
      </c>
      <c r="X20" s="147">
        <v>-0.3504043126684635</v>
      </c>
      <c r="Y20" s="147">
        <v>-0.41239892183288396</v>
      </c>
      <c r="Z20" s="147">
        <v>-0.31940700808625333</v>
      </c>
      <c r="AA20" s="147">
        <v>-0.42991913746630717</v>
      </c>
      <c r="AB20" s="147">
        <v>-0.40161725067385434</v>
      </c>
      <c r="AC20" s="147">
        <v>-0.27897574123989222</v>
      </c>
      <c r="AD20" s="147">
        <v>-0.33692722371967654</v>
      </c>
      <c r="AE20" s="147">
        <v>-0.4339622641509433</v>
      </c>
      <c r="AF20" s="147">
        <v>-0.38409703504043113</v>
      </c>
      <c r="AG20" s="147">
        <v>-0.38679245283018859</v>
      </c>
      <c r="AH20" s="147">
        <v>-0.34366576819407002</v>
      </c>
      <c r="AI20" s="147">
        <v>-0.25336927223719674</v>
      </c>
      <c r="AJ20" s="152">
        <v>-0.4043126684636118</v>
      </c>
    </row>
    <row r="21" spans="2:36" ht="24" customHeight="1">
      <c r="B21" s="47" t="s">
        <v>76</v>
      </c>
      <c r="C21" s="91">
        <v>3</v>
      </c>
      <c r="D21" s="91">
        <v>4</v>
      </c>
      <c r="E21" s="84">
        <v>4</v>
      </c>
      <c r="F21" s="84">
        <v>4</v>
      </c>
      <c r="G21" s="85">
        <v>4</v>
      </c>
      <c r="J21" s="43" t="s">
        <v>83</v>
      </c>
      <c r="K21" s="198" t="s">
        <v>104</v>
      </c>
      <c r="L21" s="45">
        <v>0</v>
      </c>
      <c r="M21" s="147">
        <v>-0.11986970684039089</v>
      </c>
      <c r="N21" s="147">
        <v>-0.250814332247557</v>
      </c>
      <c r="O21" s="147">
        <v>-0.26188925081433223</v>
      </c>
      <c r="P21" s="147">
        <v>-0.30684039087947879</v>
      </c>
      <c r="Q21" s="147">
        <v>-0.30814332247557008</v>
      </c>
      <c r="R21" s="147">
        <v>-0.26775244299674261</v>
      </c>
      <c r="S21" s="147">
        <v>-0.12703583061889245</v>
      </c>
      <c r="T21" s="147">
        <v>-5.4071661237784951E-2</v>
      </c>
      <c r="U21" s="147">
        <v>0.13550488599348531</v>
      </c>
      <c r="V21" s="147">
        <v>0.10228013029315974</v>
      </c>
      <c r="W21" s="147">
        <v>-6.514657980456029E-2</v>
      </c>
      <c r="X21" s="147">
        <v>-0.31270358306188917</v>
      </c>
      <c r="Y21" s="147">
        <v>-0.35179153094462545</v>
      </c>
      <c r="Z21" s="147">
        <v>-0.25667752442996739</v>
      </c>
      <c r="AA21" s="147">
        <v>-0.2690553745928338</v>
      </c>
      <c r="AB21" s="147">
        <v>-0.25146579804560265</v>
      </c>
      <c r="AC21" s="147">
        <v>-0.12899022801302951</v>
      </c>
      <c r="AD21" s="147">
        <v>-0.26775244299674283</v>
      </c>
      <c r="AE21" s="147">
        <v>-0.14462540716612382</v>
      </c>
      <c r="AF21" s="147">
        <v>-8.4690553745928376E-2</v>
      </c>
      <c r="AG21" s="147">
        <v>-1.3029315960914056E-3</v>
      </c>
      <c r="AH21" s="147">
        <v>-0.13355048859934859</v>
      </c>
      <c r="AI21" s="147">
        <v>-0.14853420195439748</v>
      </c>
      <c r="AJ21" s="152">
        <v>-0.30032573289902287</v>
      </c>
    </row>
    <row r="22" spans="2:36" ht="24" customHeight="1">
      <c r="B22" s="64" t="s">
        <v>74</v>
      </c>
      <c r="C22" s="92">
        <v>8</v>
      </c>
      <c r="D22" s="92">
        <v>2</v>
      </c>
      <c r="E22" s="92">
        <v>2</v>
      </c>
      <c r="F22" s="92">
        <v>1</v>
      </c>
      <c r="G22" s="93">
        <v>2</v>
      </c>
      <c r="J22" s="44" t="s">
        <v>84</v>
      </c>
      <c r="K22" s="197" t="s">
        <v>104</v>
      </c>
      <c r="L22" s="42">
        <v>0</v>
      </c>
      <c r="M22" s="147">
        <v>-5.6872037914692086E-2</v>
      </c>
      <c r="N22" s="147">
        <v>8.1516587677725072E-2</v>
      </c>
      <c r="O22" s="147">
        <v>6.3507109004739437E-2</v>
      </c>
      <c r="P22" s="147">
        <v>8.9099526066350743E-2</v>
      </c>
      <c r="Q22" s="147">
        <v>0.26729857819905201</v>
      </c>
      <c r="R22" s="147">
        <v>6.5402843601895633E-2</v>
      </c>
      <c r="S22" s="147">
        <v>0.24454976303317544</v>
      </c>
      <c r="T22" s="147">
        <v>0.33175355450236976</v>
      </c>
      <c r="U22" s="147">
        <v>0.45308056872037894</v>
      </c>
      <c r="V22" s="147">
        <v>0.26066350710900466</v>
      </c>
      <c r="W22" s="147">
        <v>0.23886255924170596</v>
      </c>
      <c r="X22" s="147">
        <v>1.8009478672985635E-2</v>
      </c>
      <c r="Y22" s="147">
        <v>0.10995260663507089</v>
      </c>
      <c r="Z22" s="147">
        <v>0.38767772511848309</v>
      </c>
      <c r="AJ22" s="41"/>
    </row>
    <row r="23" spans="2:36" ht="24" customHeight="1" thickBot="1">
      <c r="B23" s="65" t="s">
        <v>73</v>
      </c>
      <c r="C23" s="94">
        <v>4</v>
      </c>
      <c r="D23" s="94">
        <v>1</v>
      </c>
      <c r="E23" s="94">
        <v>1</v>
      </c>
      <c r="F23" s="94">
        <v>2</v>
      </c>
      <c r="G23" s="95">
        <v>1</v>
      </c>
      <c r="J23" s="43" t="s">
        <v>84</v>
      </c>
      <c r="K23" s="197" t="s">
        <v>101</v>
      </c>
      <c r="L23" s="42">
        <v>0</v>
      </c>
      <c r="M23" s="147">
        <v>-9.1384317521781222E-2</v>
      </c>
      <c r="N23" s="147">
        <v>7.6089060987415413E-2</v>
      </c>
      <c r="O23" s="147">
        <v>6.3891577928364196E-2</v>
      </c>
      <c r="P23" s="147">
        <v>-1.9361084220703706E-4</v>
      </c>
      <c r="Q23" s="147">
        <v>0.21316553727008714</v>
      </c>
      <c r="R23" s="147">
        <v>0.17657308809293326</v>
      </c>
      <c r="S23" s="147">
        <v>0.20387221684414314</v>
      </c>
      <c r="T23" s="147">
        <v>0.4714424007744431</v>
      </c>
      <c r="U23" s="147">
        <v>0.65091965150048381</v>
      </c>
      <c r="V23" s="147">
        <v>0.71597289448209067</v>
      </c>
      <c r="W23" s="147">
        <v>0.97773475314617597</v>
      </c>
      <c r="X23" s="147">
        <v>0.56902226524685373</v>
      </c>
      <c r="Y23" s="147">
        <v>0.46447241045498533</v>
      </c>
      <c r="Z23" s="147">
        <v>0.77366892545982546</v>
      </c>
      <c r="AA23" s="153"/>
      <c r="AB23" s="153"/>
      <c r="AC23" s="153"/>
      <c r="AD23" s="153"/>
      <c r="AE23" s="153"/>
      <c r="AF23" s="153"/>
      <c r="AG23" s="153"/>
      <c r="AH23" s="153"/>
      <c r="AI23" s="153"/>
      <c r="AJ23" s="154"/>
    </row>
    <row r="24" spans="2:36" ht="24" customHeight="1" thickBot="1">
      <c r="J24" s="216" t="s">
        <v>58</v>
      </c>
      <c r="K24" s="217"/>
      <c r="L24" s="40">
        <v>0</v>
      </c>
      <c r="M24" s="39">
        <f>AVERAGE(M16:M23)</f>
        <v>-6.6459283204254829E-2</v>
      </c>
      <c r="N24" s="39">
        <f t="shared" ref="N24:AJ24" si="1">AVERAGE(N16:N23)</f>
        <v>-7.3633463227653739E-2</v>
      </c>
      <c r="O24" s="39">
        <f t="shared" si="1"/>
        <v>-6.5368831451511039E-2</v>
      </c>
      <c r="P24" s="39">
        <f t="shared" si="1"/>
        <v>-3.3861406311048017E-2</v>
      </c>
      <c r="Q24" s="39">
        <f t="shared" si="1"/>
        <v>-9.9737231099157275E-2</v>
      </c>
      <c r="R24" s="39">
        <f t="shared" si="1"/>
        <v>-0.1825155979610445</v>
      </c>
      <c r="S24" s="39">
        <f t="shared" si="1"/>
        <v>-0.1203837106591728</v>
      </c>
      <c r="T24" s="39">
        <f t="shared" si="1"/>
        <v>-4.2263146371965737E-2</v>
      </c>
      <c r="U24" s="39">
        <f t="shared" si="1"/>
        <v>4.1961136324884407E-2</v>
      </c>
      <c r="V24" s="39">
        <f t="shared" si="1"/>
        <v>4.4554085620021389E-2</v>
      </c>
      <c r="W24" s="39">
        <f t="shared" si="1"/>
        <v>9.8037187708866075E-2</v>
      </c>
      <c r="X24" s="39">
        <f t="shared" si="1"/>
        <v>-5.1210128967418958E-2</v>
      </c>
      <c r="Y24" s="39">
        <f t="shared" si="1"/>
        <v>-0.12666815507532153</v>
      </c>
      <c r="Z24" s="39">
        <f t="shared" si="1"/>
        <v>-4.258165763010574E-2</v>
      </c>
      <c r="AA24" s="39">
        <f t="shared" si="1"/>
        <v>-0.22072834235229552</v>
      </c>
      <c r="AB24" s="39">
        <f t="shared" si="1"/>
        <v>-0.22996111989979603</v>
      </c>
      <c r="AC24" s="39">
        <f t="shared" si="1"/>
        <v>-0.2854271767100513</v>
      </c>
      <c r="AD24" s="39">
        <f t="shared" si="1"/>
        <v>-0.30337876812059555</v>
      </c>
      <c r="AE24" s="39">
        <f t="shared" si="1"/>
        <v>-0.35389198902504332</v>
      </c>
      <c r="AF24" s="39">
        <f t="shared" si="1"/>
        <v>-0.31021348173480073</v>
      </c>
      <c r="AG24" s="39">
        <f t="shared" si="1"/>
        <v>-0.2023277107003997</v>
      </c>
      <c r="AH24" s="39">
        <f t="shared" si="1"/>
        <v>-0.23237511201236524</v>
      </c>
      <c r="AI24" s="39">
        <f t="shared" si="1"/>
        <v>-0.19680414021391113</v>
      </c>
      <c r="AJ24" s="38">
        <f t="shared" si="1"/>
        <v>-0.30881798818621015</v>
      </c>
    </row>
    <row r="25" spans="2:36" ht="24" customHeigh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hidden="1"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1.05" hidden="1" customHeight="1">
      <c r="J27" s="206" t="s">
        <v>91</v>
      </c>
      <c r="K27" s="207"/>
      <c r="L27" s="158">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52">
        <v>0.15979569178065556</v>
      </c>
    </row>
    <row r="28" spans="2:36" ht="30" hidden="1"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0.38842044041457102</v>
      </c>
      <c r="AF28" s="147">
        <v>0.46797880909447076</v>
      </c>
      <c r="AG28" s="147">
        <v>0.43129381818358792</v>
      </c>
      <c r="AH28" s="147">
        <v>0.46996211042729796</v>
      </c>
      <c r="AI28" s="147">
        <v>0.44902672224777396</v>
      </c>
      <c r="AJ28" s="152">
        <v>0.36564289381915693</v>
      </c>
    </row>
    <row r="29" spans="2:36" ht="1.05" hidden="1"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52">
        <v>0.24249812060483178</v>
      </c>
    </row>
    <row r="30" spans="2:36" ht="1.05" hidden="1"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1.05" hidden="1"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0.20531230398190789</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8" spans="10:36" ht="35.25" hidden="1" thickBot="1">
      <c r="J68" s="214" t="s">
        <v>131</v>
      </c>
      <c r="K68" s="21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hidden="1">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hidden="1">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hidden="1">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7.25" hidden="1"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7.25" hidden="1"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J24:K24"/>
    <mergeCell ref="F1:H1"/>
    <mergeCell ref="B2:D3"/>
    <mergeCell ref="J2:K2"/>
    <mergeCell ref="J11:K11"/>
    <mergeCell ref="J15:K15"/>
    <mergeCell ref="J73:K73"/>
    <mergeCell ref="J26:K26"/>
    <mergeCell ref="J27:K27"/>
    <mergeCell ref="J28:K28"/>
    <mergeCell ref="J29:K29"/>
    <mergeCell ref="J30:K30"/>
    <mergeCell ref="J31:K31"/>
    <mergeCell ref="J68:K68"/>
    <mergeCell ref="J69:K69"/>
    <mergeCell ref="J70:K70"/>
    <mergeCell ref="J71:K71"/>
    <mergeCell ref="J72:K72"/>
  </mergeCells>
  <phoneticPr fontId="13" type="noConversion"/>
  <conditionalFormatting sqref="C16:G23">
    <cfRule type="cellIs" dxfId="89" priority="6" operator="between">
      <formula>7</formula>
      <formula>8</formula>
    </cfRule>
    <cfRule type="cellIs" dxfId="88" priority="7" operator="between">
      <formula>1</formula>
      <formula>2</formula>
    </cfRule>
  </conditionalFormatting>
  <conditionalFormatting sqref="F3">
    <cfRule type="cellIs" dxfId="87" priority="2" operator="equal">
      <formula>"GOOD"</formula>
    </cfRule>
    <cfRule type="cellIs" dxfId="86" priority="4" operator="equal">
      <formula>"GOOD"</formula>
    </cfRule>
    <cfRule type="top10" dxfId="85" priority="5" percent="1" rank="10"/>
  </conditionalFormatting>
  <conditionalFormatting sqref="G3">
    <cfRule type="cellIs" dxfId="84" priority="1" operator="equal">
      <formula>"BAD"</formula>
    </cfRule>
    <cfRule type="cellIs" dxfId="83" priority="3" operator="equal">
      <formula>"BAD"</formula>
    </cfRule>
  </conditionalFormatting>
  <pageMargins left="0.7" right="0.7" top="0.75" bottom="0.75" header="0.3" footer="0.3"/>
  <pageSetup paperSize="9" orientation="portrait" horizontalDpi="360" verticalDpi="36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5DACE-D2CA-924E-9543-D895C403E077}">
  <dimension ref="B1:AJ73"/>
  <sheetViews>
    <sheetView topLeftCell="J32" zoomScale="66" zoomScaleNormal="55" workbookViewId="0">
      <selection activeCell="R66" sqref="R66"/>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18"/>
      <c r="G1" s="219"/>
      <c r="H1" s="219"/>
    </row>
    <row r="2" spans="2:36" ht="24" customHeight="1" thickBot="1">
      <c r="B2" s="240" t="s">
        <v>118</v>
      </c>
      <c r="C2" s="241"/>
      <c r="D2" s="242"/>
      <c r="J2" s="226" t="s">
        <v>60</v>
      </c>
      <c r="K2" s="227"/>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43"/>
      <c r="C3" s="244"/>
      <c r="D3" s="245"/>
      <c r="F3" s="188" t="s">
        <v>130</v>
      </c>
      <c r="G3" s="189" t="s">
        <v>129</v>
      </c>
      <c r="J3" s="48" t="s">
        <v>81</v>
      </c>
      <c r="K3" s="190" t="s">
        <v>101</v>
      </c>
      <c r="L3" s="42">
        <v>0</v>
      </c>
      <c r="M3" s="147">
        <v>-4.4342507645259932E-2</v>
      </c>
      <c r="N3" s="147">
        <v>-7.9701834862385357E-2</v>
      </c>
      <c r="O3" s="147">
        <v>-0.30358053007135566</v>
      </c>
      <c r="P3" s="147">
        <v>-0.28994648318042804</v>
      </c>
      <c r="Q3" s="147">
        <v>-0.40577217125382259</v>
      </c>
      <c r="R3" s="147">
        <v>-0.55058613659531086</v>
      </c>
      <c r="S3" s="147">
        <v>-0.53784403669724756</v>
      </c>
      <c r="T3" s="147">
        <v>-0.4912716615698266</v>
      </c>
      <c r="U3" s="147">
        <v>-0.58135830784913356</v>
      </c>
      <c r="V3" s="147">
        <v>-0.47024719673802229</v>
      </c>
      <c r="W3" s="147">
        <v>-0.36850152905198763</v>
      </c>
      <c r="X3" s="147">
        <v>-0.43361365953109066</v>
      </c>
      <c r="Y3" s="147">
        <v>-0.36015545361875634</v>
      </c>
      <c r="Z3" s="147">
        <v>-0.39965596330275222</v>
      </c>
      <c r="AA3" s="147">
        <v>-0.22241335372069315</v>
      </c>
      <c r="AB3" s="147">
        <v>-0.2382772680937818</v>
      </c>
      <c r="AC3" s="147">
        <v>-0.45291794087665638</v>
      </c>
      <c r="AD3" s="147">
        <v>-0.52395514780835883</v>
      </c>
      <c r="AE3" s="147">
        <v>-0.58741080530071343</v>
      </c>
      <c r="AF3" s="147">
        <v>-0.57581549439347612</v>
      </c>
      <c r="AG3" s="147">
        <v>-0.48318042813455653</v>
      </c>
      <c r="AH3" s="147">
        <v>-0.50949286442405706</v>
      </c>
      <c r="AI3" s="147">
        <v>-0.54466106014271154</v>
      </c>
      <c r="AJ3" s="152">
        <v>-0.52580275229357787</v>
      </c>
    </row>
    <row r="4" spans="2:36" ht="24" customHeight="1" thickBot="1">
      <c r="J4" s="43" t="s">
        <v>81</v>
      </c>
      <c r="K4" s="191" t="s">
        <v>100</v>
      </c>
      <c r="L4" s="45">
        <v>0</v>
      </c>
      <c r="M4" s="147">
        <v>-6.2403033959662069E-2</v>
      </c>
      <c r="N4" s="147">
        <v>-0.16807446991897945</v>
      </c>
      <c r="O4" s="147">
        <v>-0.30960179279434574</v>
      </c>
      <c r="P4" s="147">
        <v>-0.23582141010170654</v>
      </c>
      <c r="Q4" s="147">
        <v>-0.24909498362351312</v>
      </c>
      <c r="R4" s="147">
        <v>-0.32511635924840543</v>
      </c>
      <c r="S4" s="147">
        <v>-0.23358041716945344</v>
      </c>
      <c r="T4" s="147">
        <v>-0.18220996379934495</v>
      </c>
      <c r="U4" s="147">
        <v>-0.25978279606964327</v>
      </c>
      <c r="V4" s="147">
        <v>-0.11498017583175313</v>
      </c>
      <c r="W4" s="147">
        <v>-0.17548698500258586</v>
      </c>
      <c r="X4" s="147">
        <v>-0.27667643509739703</v>
      </c>
      <c r="Y4" s="147">
        <v>-0.25081882434063096</v>
      </c>
      <c r="Z4" s="147">
        <v>-0.22547836579900027</v>
      </c>
      <c r="AA4" s="147">
        <v>-8.3261506636786886E-2</v>
      </c>
      <c r="AB4" s="147">
        <v>-0.1616962592656439</v>
      </c>
      <c r="AC4" s="147">
        <v>-0.27650405102568532</v>
      </c>
      <c r="AD4" s="147">
        <v>-0.36079986209274273</v>
      </c>
      <c r="AE4" s="147">
        <v>-0.45474918117565943</v>
      </c>
      <c r="AF4" s="147">
        <v>-0.34821582485778313</v>
      </c>
      <c r="AG4" s="147">
        <v>-0.32649543182209972</v>
      </c>
      <c r="AH4" s="147">
        <v>-0.38234787105671453</v>
      </c>
      <c r="AI4" s="147">
        <v>-0.35545595586967771</v>
      </c>
      <c r="AJ4" s="152">
        <v>-0.25892087571108435</v>
      </c>
    </row>
    <row r="5" spans="2:36" ht="24" customHeight="1">
      <c r="B5" s="51"/>
      <c r="C5" s="50">
        <v>2021</v>
      </c>
      <c r="D5" s="50">
        <v>2022</v>
      </c>
      <c r="E5" s="50">
        <v>2023</v>
      </c>
      <c r="F5" s="50">
        <v>2024</v>
      </c>
      <c r="G5" s="49">
        <v>2025</v>
      </c>
      <c r="J5" s="44" t="s">
        <v>82</v>
      </c>
      <c r="K5" s="192" t="s">
        <v>96</v>
      </c>
      <c r="L5" s="46">
        <v>0</v>
      </c>
      <c r="M5" s="147">
        <v>-1.0169491525423791E-2</v>
      </c>
      <c r="N5" s="147">
        <v>7.2768361581920793E-2</v>
      </c>
      <c r="O5" s="147">
        <v>0.23999999999999977</v>
      </c>
      <c r="P5" s="147">
        <v>0.22734463276836148</v>
      </c>
      <c r="Q5" s="147">
        <v>0.12564971751412424</v>
      </c>
      <c r="R5" s="147">
        <v>-4.4067796610169574E-2</v>
      </c>
      <c r="S5" s="147">
        <v>-0.20881355932203394</v>
      </c>
      <c r="T5" s="147">
        <v>-0.10960451977401131</v>
      </c>
      <c r="U5" s="147">
        <v>-6.7570621468926562E-2</v>
      </c>
      <c r="V5" s="147">
        <v>-6.4858757062146832E-2</v>
      </c>
      <c r="W5" s="147">
        <v>2.8022598870056648E-2</v>
      </c>
      <c r="X5" s="147">
        <v>8.2033898305085007E-2</v>
      </c>
      <c r="Y5" s="147">
        <v>0.16293785310734488</v>
      </c>
      <c r="Z5" s="147">
        <v>0.19751412429378568</v>
      </c>
      <c r="AA5" s="147">
        <v>9.9661016949152748E-2</v>
      </c>
      <c r="AB5" s="147">
        <v>2.6440677966101944E-2</v>
      </c>
      <c r="AC5" s="147">
        <v>-4.7457627118642209E-3</v>
      </c>
      <c r="AD5" s="147">
        <v>0.28949152542372913</v>
      </c>
      <c r="AE5" s="147">
        <v>0.76858757062146954</v>
      </c>
      <c r="AF5" s="147">
        <v>1.1882485875706221</v>
      </c>
      <c r="AG5" s="147">
        <v>1.194350282485876</v>
      </c>
      <c r="AH5" s="147">
        <v>1.3918644067796615</v>
      </c>
      <c r="AI5" s="147">
        <v>1.1200000000000006</v>
      </c>
      <c r="AJ5" s="152">
        <v>0.56045197740113029</v>
      </c>
    </row>
    <row r="6" spans="2:36" ht="24" customHeight="1">
      <c r="B6" s="47" t="s">
        <v>69</v>
      </c>
      <c r="C6" s="138">
        <v>-3.0946484165741484</v>
      </c>
      <c r="D6" s="139">
        <v>0.19528096625637162</v>
      </c>
      <c r="E6" s="139">
        <v>1.2576268489562616</v>
      </c>
      <c r="F6" s="139">
        <v>1.2876790726275351</v>
      </c>
      <c r="G6" s="140">
        <v>0.16819099223594014</v>
      </c>
      <c r="H6" s="1"/>
      <c r="J6" s="43" t="s">
        <v>82</v>
      </c>
      <c r="K6" s="191" t="s">
        <v>102</v>
      </c>
      <c r="L6" s="45">
        <v>0</v>
      </c>
      <c r="M6" s="147">
        <v>-1.7460787215152318E-2</v>
      </c>
      <c r="N6" s="147">
        <v>4.0248594258656345E-2</v>
      </c>
      <c r="O6" s="147">
        <v>0.36134951168984908</v>
      </c>
      <c r="P6" s="147">
        <v>0.32465226398342706</v>
      </c>
      <c r="Q6" s="147">
        <v>0.23054158034921568</v>
      </c>
      <c r="R6" s="147">
        <v>6.1852619118082375E-2</v>
      </c>
      <c r="S6" s="147">
        <v>-0.10328499556081672</v>
      </c>
      <c r="T6" s="147">
        <v>6.2740455756140845E-2</v>
      </c>
      <c r="U6" s="147">
        <v>0.15773897602841069</v>
      </c>
      <c r="V6" s="147">
        <v>0.12636874815034038</v>
      </c>
      <c r="W6" s="147">
        <v>0.21633619414027816</v>
      </c>
      <c r="X6" s="147">
        <v>0.38088191772713809</v>
      </c>
      <c r="Y6" s="147">
        <v>0.44421426457531821</v>
      </c>
      <c r="Z6" s="147">
        <v>0.47173720035513478</v>
      </c>
      <c r="AA6" s="147">
        <v>0.3711157147084938</v>
      </c>
      <c r="AB6" s="147">
        <v>0.24326723882805568</v>
      </c>
      <c r="AC6" s="147">
        <v>0.23231725362533306</v>
      </c>
      <c r="AD6" s="147">
        <v>0.47292098253921311</v>
      </c>
      <c r="AE6" s="147">
        <v>0.65936667653151848</v>
      </c>
      <c r="AF6" s="147">
        <v>0.85646641018052705</v>
      </c>
      <c r="AG6" s="147">
        <v>0.75969221663214026</v>
      </c>
      <c r="AH6" s="147">
        <v>0.95679195028114905</v>
      </c>
      <c r="AI6" s="147">
        <v>0.74874223142941765</v>
      </c>
      <c r="AJ6" s="152">
        <v>0.27138206569991175</v>
      </c>
    </row>
    <row r="7" spans="2:36" ht="24" customHeight="1">
      <c r="B7" s="47" t="s">
        <v>70</v>
      </c>
      <c r="C7" s="141">
        <v>1.6042692939244663</v>
      </c>
      <c r="D7" s="142">
        <v>0.87383177570093462</v>
      </c>
      <c r="E7" s="142">
        <v>0.75624999999999998</v>
      </c>
      <c r="F7" s="142">
        <v>0.75427682737169521</v>
      </c>
      <c r="G7" s="143">
        <v>0.79211469534050183</v>
      </c>
      <c r="H7" s="1"/>
      <c r="J7" s="44" t="s">
        <v>83</v>
      </c>
      <c r="K7" s="192" t="s">
        <v>96</v>
      </c>
      <c r="L7" s="46">
        <v>0</v>
      </c>
      <c r="M7" s="147">
        <v>7.4770258980785265E-2</v>
      </c>
      <c r="N7" s="147">
        <v>0.10672514619883056</v>
      </c>
      <c r="O7" s="147">
        <v>1.6290726817042689E-2</v>
      </c>
      <c r="P7" s="147">
        <v>-5.1378446115288079E-2</v>
      </c>
      <c r="Q7" s="147">
        <v>-8.0200501253132717E-2</v>
      </c>
      <c r="R7" s="147">
        <v>0.19172932330827086</v>
      </c>
      <c r="S7" s="147">
        <v>0.63450292397660846</v>
      </c>
      <c r="T7" s="147">
        <v>1.0223475355054301</v>
      </c>
      <c r="U7" s="147">
        <v>1.0279866332497911</v>
      </c>
      <c r="V7" s="147">
        <v>1.2105263157894739</v>
      </c>
      <c r="W7" s="147">
        <v>0.95927318295739372</v>
      </c>
      <c r="X7" s="147">
        <v>0.44214703425229751</v>
      </c>
      <c r="Y7" s="147">
        <v>0.43734335839599003</v>
      </c>
      <c r="Z7" s="147">
        <v>0.65914786967418548</v>
      </c>
      <c r="AA7" s="147">
        <v>0.66311612364243966</v>
      </c>
      <c r="AB7" s="147">
        <v>0.84440267335004227</v>
      </c>
      <c r="AC7" s="147">
        <v>1.1929824561403515</v>
      </c>
      <c r="AD7" s="147">
        <v>1.0154553049289894</v>
      </c>
      <c r="AE7" s="147">
        <v>0.96407685881370142</v>
      </c>
      <c r="AF7" s="147">
        <v>1.1294903926482878</v>
      </c>
      <c r="AG7" s="147">
        <v>1.3354218880534678</v>
      </c>
      <c r="AH7" s="147">
        <v>1.1370091896407692</v>
      </c>
      <c r="AI7" s="147">
        <v>1.2201336675020893</v>
      </c>
      <c r="AJ7" s="152">
        <v>0.92293233082706805</v>
      </c>
    </row>
    <row r="8" spans="2:36" ht="24" customHeight="1">
      <c r="B8" s="47" t="s">
        <v>71</v>
      </c>
      <c r="C8" s="141">
        <v>-0.48</v>
      </c>
      <c r="D8" s="142">
        <v>-0.17</v>
      </c>
      <c r="E8" s="142">
        <v>-0.05</v>
      </c>
      <c r="F8" s="142">
        <v>0.37</v>
      </c>
      <c r="G8" s="143">
        <v>-0.6</v>
      </c>
      <c r="J8" s="43" t="s">
        <v>83</v>
      </c>
      <c r="K8" s="191" t="s">
        <v>102</v>
      </c>
      <c r="L8" s="45">
        <v>0</v>
      </c>
      <c r="M8" s="147">
        <v>4.5863694813544909E-2</v>
      </c>
      <c r="N8" s="147">
        <v>6.5795113587655552E-2</v>
      </c>
      <c r="O8" s="147">
        <v>-7.0724389198455473E-3</v>
      </c>
      <c r="P8" s="147">
        <v>-9.9657093870552882E-2</v>
      </c>
      <c r="Q8" s="147">
        <v>-0.10758679811401617</v>
      </c>
      <c r="R8" s="147">
        <v>6.6652378911273402E-2</v>
      </c>
      <c r="S8" s="147">
        <v>0.2016716673810548</v>
      </c>
      <c r="T8" s="147">
        <v>0.34440634376339507</v>
      </c>
      <c r="U8" s="147">
        <v>0.2743249035576516</v>
      </c>
      <c r="V8" s="147">
        <v>0.4170595799399921</v>
      </c>
      <c r="W8" s="147">
        <v>0.26639519931418842</v>
      </c>
      <c r="X8" s="147">
        <v>-7.9297042434632981E-2</v>
      </c>
      <c r="Y8" s="147">
        <v>-0.12087441063008952</v>
      </c>
      <c r="Z8" s="147">
        <v>2.1860265752250863E-2</v>
      </c>
      <c r="AA8" s="147">
        <v>4.1577368195456987E-2</v>
      </c>
      <c r="AB8" s="147">
        <v>0.12687526789541415</v>
      </c>
      <c r="AC8" s="147">
        <v>0.31290184312044644</v>
      </c>
      <c r="AD8" s="147">
        <v>0.20595799399914339</v>
      </c>
      <c r="AE8" s="147">
        <v>0.21945992284612137</v>
      </c>
      <c r="AF8" s="147">
        <v>0.36648092584655001</v>
      </c>
      <c r="AG8" s="147">
        <v>0.47942563223317691</v>
      </c>
      <c r="AH8" s="147">
        <v>0.40462923274753626</v>
      </c>
      <c r="AI8" s="147">
        <v>0.40055722246035197</v>
      </c>
      <c r="AJ8" s="152">
        <v>0.42091727389627143</v>
      </c>
    </row>
    <row r="9" spans="2:36" ht="24" customHeight="1">
      <c r="B9" s="47" t="s">
        <v>72</v>
      </c>
      <c r="C9" s="141">
        <v>8.68</v>
      </c>
      <c r="D9" s="142">
        <v>0.14000000000000001</v>
      </c>
      <c r="E9" s="142">
        <v>6.29</v>
      </c>
      <c r="F9" s="142">
        <v>-13.49</v>
      </c>
      <c r="G9" s="143">
        <v>-2.48</v>
      </c>
      <c r="J9" s="44" t="s">
        <v>84</v>
      </c>
      <c r="K9" s="190" t="s">
        <v>96</v>
      </c>
      <c r="L9" s="42">
        <v>0</v>
      </c>
      <c r="M9" s="147">
        <v>-3.3309196234613259E-3</v>
      </c>
      <c r="N9" s="147">
        <v>0.15047067342505427</v>
      </c>
      <c r="O9" s="147">
        <v>0.1532223026792181</v>
      </c>
      <c r="P9" s="147">
        <v>0.27892831281679986</v>
      </c>
      <c r="Q9" s="147">
        <v>0.52063721940622787</v>
      </c>
      <c r="R9" s="147">
        <v>0.39753801593048554</v>
      </c>
      <c r="S9" s="147">
        <v>0.36191165821868254</v>
      </c>
      <c r="T9" s="147">
        <v>0.47661115133960918</v>
      </c>
      <c r="U9" s="147">
        <v>0.61940622737147022</v>
      </c>
      <c r="V9" s="147">
        <v>0.48182476466328783</v>
      </c>
      <c r="W9" s="147">
        <v>0.53946415640839995</v>
      </c>
      <c r="X9" s="147">
        <v>0.33338160753077495</v>
      </c>
      <c r="Y9" s="147">
        <v>0.30340333091962357</v>
      </c>
      <c r="Z9" s="147">
        <v>0.63099203475742249</v>
      </c>
      <c r="AJ9" s="41"/>
    </row>
    <row r="10" spans="2:36" ht="24" customHeight="1" thickBot="1">
      <c r="B10" s="63" t="s">
        <v>75</v>
      </c>
      <c r="C10" s="141">
        <v>-0.5490196078431373</v>
      </c>
      <c r="D10" s="142">
        <v>-1.0815655811174185</v>
      </c>
      <c r="E10" s="142">
        <v>-0.91947204508379066</v>
      </c>
      <c r="F10" s="142">
        <v>-2.0225051821143025</v>
      </c>
      <c r="G10" s="143">
        <v>-1.6595178228072773</v>
      </c>
      <c r="J10" s="43" t="s">
        <v>84</v>
      </c>
      <c r="K10" s="190" t="s">
        <v>102</v>
      </c>
      <c r="L10" s="42">
        <v>0</v>
      </c>
      <c r="M10" s="147">
        <v>-4.5158286778398504E-2</v>
      </c>
      <c r="N10" s="147">
        <v>0.10986964618249528</v>
      </c>
      <c r="O10" s="147">
        <v>0.13128491620111715</v>
      </c>
      <c r="P10" s="147">
        <v>0.22392923649906882</v>
      </c>
      <c r="Q10" s="147">
        <v>0.42597765363128492</v>
      </c>
      <c r="R10" s="147">
        <v>0.30982309124767227</v>
      </c>
      <c r="S10" s="147">
        <v>0.32448789571694592</v>
      </c>
      <c r="T10" s="147">
        <v>0.48417132216014891</v>
      </c>
      <c r="U10" s="147">
        <v>0.60684357541899447</v>
      </c>
      <c r="V10" s="147">
        <v>0.52560521415270034</v>
      </c>
      <c r="W10" s="147">
        <v>0.52118249534450634</v>
      </c>
      <c r="X10" s="147">
        <v>0.54329608938547458</v>
      </c>
      <c r="Y10" s="147">
        <v>0.57844506517690863</v>
      </c>
      <c r="Z10" s="147">
        <v>0.89897579143389184</v>
      </c>
      <c r="AA10" s="153"/>
      <c r="AB10" s="153"/>
      <c r="AC10" s="153"/>
      <c r="AD10" s="153"/>
      <c r="AE10" s="153"/>
      <c r="AF10" s="153"/>
      <c r="AG10" s="153"/>
      <c r="AH10" s="153"/>
      <c r="AI10" s="153"/>
      <c r="AJ10" s="154"/>
    </row>
    <row r="11" spans="2:36" ht="24" customHeight="1" thickBot="1">
      <c r="B11" s="47" t="s">
        <v>76</v>
      </c>
      <c r="C11" s="141">
        <v>3.8682621095237235</v>
      </c>
      <c r="D11" s="142">
        <v>0.46374248936056794</v>
      </c>
      <c r="E11" s="142">
        <v>1.8543747294018473</v>
      </c>
      <c r="F11" s="142">
        <v>3.115249748882281</v>
      </c>
      <c r="G11" s="143">
        <v>0.8028030220749075</v>
      </c>
      <c r="J11" s="216" t="s">
        <v>58</v>
      </c>
      <c r="K11" s="217"/>
      <c r="L11" s="40">
        <v>0</v>
      </c>
      <c r="M11" s="39">
        <f t="shared" ref="M11:AJ11" si="0">AVERAGE(M3:M10)</f>
        <v>-7.7788841191284708E-3</v>
      </c>
      <c r="N11" s="39">
        <f t="shared" si="0"/>
        <v>3.7262653806655999E-2</v>
      </c>
      <c r="O11" s="39">
        <f t="shared" si="0"/>
        <v>3.523658695020998E-2</v>
      </c>
      <c r="P11" s="39">
        <f t="shared" si="0"/>
        <v>4.7256376599960209E-2</v>
      </c>
      <c r="Q11" s="39">
        <f t="shared" si="0"/>
        <v>5.7518964582046014E-2</v>
      </c>
      <c r="R11" s="39">
        <f t="shared" si="0"/>
        <v>1.3478142007737323E-2</v>
      </c>
      <c r="S11" s="39">
        <f t="shared" si="0"/>
        <v>5.4881392067967494E-2</v>
      </c>
      <c r="T11" s="39">
        <f t="shared" si="0"/>
        <v>0.20089883292269264</v>
      </c>
      <c r="U11" s="39">
        <f t="shared" si="0"/>
        <v>0.22219857377982685</v>
      </c>
      <c r="V11" s="39">
        <f t="shared" si="0"/>
        <v>0.26391231163298401</v>
      </c>
      <c r="W11" s="39">
        <f t="shared" si="0"/>
        <v>0.24833566412253122</v>
      </c>
      <c r="X11" s="39">
        <f t="shared" si="0"/>
        <v>0.12401917626720618</v>
      </c>
      <c r="Y11" s="39">
        <f t="shared" si="0"/>
        <v>0.14931189794821356</v>
      </c>
      <c r="Z11" s="39">
        <f t="shared" si="0"/>
        <v>0.28188661964561484</v>
      </c>
      <c r="AA11" s="39">
        <f t="shared" si="0"/>
        <v>0.14496589385634387</v>
      </c>
      <c r="AB11" s="39">
        <f t="shared" si="0"/>
        <v>0.1401687217800314</v>
      </c>
      <c r="AC11" s="39">
        <f t="shared" si="0"/>
        <v>0.1673389663786542</v>
      </c>
      <c r="AD11" s="39">
        <f t="shared" si="0"/>
        <v>0.18317846616499556</v>
      </c>
      <c r="AE11" s="39">
        <f t="shared" si="0"/>
        <v>0.26155517372273968</v>
      </c>
      <c r="AF11" s="39">
        <f t="shared" si="0"/>
        <v>0.43610916616578788</v>
      </c>
      <c r="AG11" s="39">
        <f t="shared" si="0"/>
        <v>0.49320235990800082</v>
      </c>
      <c r="AH11" s="39">
        <f t="shared" si="0"/>
        <v>0.49974234066139078</v>
      </c>
      <c r="AI11" s="39">
        <f t="shared" si="0"/>
        <v>0.43155268422991172</v>
      </c>
      <c r="AJ11" s="38">
        <f t="shared" si="0"/>
        <v>0.23182666996995324</v>
      </c>
    </row>
    <row r="12" spans="2:36" ht="24" customHeight="1">
      <c r="B12" s="64" t="s">
        <v>74</v>
      </c>
      <c r="C12" s="141">
        <v>-6.1</v>
      </c>
      <c r="D12" s="142">
        <v>2.23</v>
      </c>
      <c r="E12" s="142">
        <v>7.89</v>
      </c>
      <c r="F12" s="142">
        <v>9.4499999999999993</v>
      </c>
      <c r="G12" s="143">
        <v>10.199999999999999</v>
      </c>
    </row>
    <row r="13" spans="2:36" ht="24" customHeight="1" thickBot="1">
      <c r="B13" s="65" t="s">
        <v>73</v>
      </c>
      <c r="C13" s="144">
        <v>0.44</v>
      </c>
      <c r="D13" s="145">
        <v>2.06</v>
      </c>
      <c r="E13" s="145">
        <v>7.17</v>
      </c>
      <c r="F13" s="145">
        <v>7.25</v>
      </c>
      <c r="G13" s="146">
        <v>7.66</v>
      </c>
    </row>
    <row r="14" spans="2:36" ht="24" customHeight="1" thickBot="1"/>
    <row r="15" spans="2:36" ht="24" customHeight="1" thickBot="1">
      <c r="B15" s="51"/>
      <c r="C15" s="50">
        <v>2021</v>
      </c>
      <c r="D15" s="50">
        <v>2022</v>
      </c>
      <c r="E15" s="50">
        <v>2023</v>
      </c>
      <c r="F15" s="50">
        <v>2024</v>
      </c>
      <c r="G15" s="49">
        <v>2025</v>
      </c>
      <c r="J15" s="228" t="s">
        <v>59</v>
      </c>
      <c r="K15" s="229"/>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7</v>
      </c>
      <c r="D16" s="84">
        <v>5</v>
      </c>
      <c r="E16" s="84">
        <v>5</v>
      </c>
      <c r="F16" s="84">
        <v>4</v>
      </c>
      <c r="G16" s="85">
        <v>5</v>
      </c>
      <c r="J16" s="48" t="s">
        <v>81</v>
      </c>
      <c r="K16" s="193" t="s">
        <v>104</v>
      </c>
      <c r="L16" s="42">
        <v>0</v>
      </c>
      <c r="M16" s="147">
        <v>2.8493150684931523E-2</v>
      </c>
      <c r="N16" s="147">
        <v>-2.082191780821907E-2</v>
      </c>
      <c r="O16" s="147">
        <v>-0.30520547945205467</v>
      </c>
      <c r="P16" s="147">
        <v>-0.24876712328767103</v>
      </c>
      <c r="Q16" s="147">
        <v>-0.28821917808219166</v>
      </c>
      <c r="R16" s="147">
        <v>-0.34027397260273973</v>
      </c>
      <c r="S16" s="147">
        <v>-0.22301369863013698</v>
      </c>
      <c r="T16" s="147">
        <v>-0.20931506849315062</v>
      </c>
      <c r="U16" s="147">
        <v>-0.30301369863013694</v>
      </c>
      <c r="V16" s="147">
        <v>-0.11561643835616431</v>
      </c>
      <c r="W16" s="147">
        <v>-0.12438356164383557</v>
      </c>
      <c r="X16" s="147">
        <v>-0.19178082191780821</v>
      </c>
      <c r="Y16" s="147">
        <v>-0.25260273972602731</v>
      </c>
      <c r="Z16" s="147">
        <v>-0.19013698630136988</v>
      </c>
      <c r="AA16" s="147">
        <v>-1.69863013698629E-2</v>
      </c>
      <c r="AB16" s="147">
        <v>-8.2191780821917693E-2</v>
      </c>
      <c r="AC16" s="147">
        <v>-0.19287671232876702</v>
      </c>
      <c r="AD16" s="147">
        <v>-0.29808219178082185</v>
      </c>
      <c r="AE16" s="147">
        <v>-0.38904109589041092</v>
      </c>
      <c r="AF16" s="147">
        <v>-0.31890410958904114</v>
      </c>
      <c r="AG16" s="147">
        <v>-0.24712328767123293</v>
      </c>
      <c r="AH16" s="147">
        <v>-0.22027397260273973</v>
      </c>
      <c r="AI16" s="147">
        <v>-0.14082191780821918</v>
      </c>
      <c r="AJ16" s="152">
        <v>-0.15890410958904111</v>
      </c>
    </row>
    <row r="17" spans="2:36" ht="24" customHeight="1">
      <c r="B17" s="47" t="s">
        <v>70</v>
      </c>
      <c r="C17" s="84">
        <v>3</v>
      </c>
      <c r="D17" s="84">
        <v>3</v>
      </c>
      <c r="E17" s="84">
        <v>6</v>
      </c>
      <c r="F17" s="84">
        <v>5</v>
      </c>
      <c r="G17" s="85">
        <v>4</v>
      </c>
      <c r="J17" s="43" t="s">
        <v>81</v>
      </c>
      <c r="K17" s="194" t="s">
        <v>96</v>
      </c>
      <c r="L17" s="45">
        <v>0</v>
      </c>
      <c r="M17" s="147">
        <v>8.9301121656600424E-2</v>
      </c>
      <c r="N17" s="147">
        <v>2.7394305435720412E-2</v>
      </c>
      <c r="O17" s="147">
        <v>-0.235979292493529</v>
      </c>
      <c r="P17" s="147">
        <v>-0.20729076790336509</v>
      </c>
      <c r="Q17" s="147">
        <v>-0.24482312338222623</v>
      </c>
      <c r="R17" s="147">
        <v>-0.29831751509922355</v>
      </c>
      <c r="S17" s="147">
        <v>-7.0750647109577458E-2</v>
      </c>
      <c r="T17" s="147">
        <v>-4.7238999137187432E-2</v>
      </c>
      <c r="U17" s="147">
        <v>-0.1867989646246766</v>
      </c>
      <c r="V17" s="147">
        <v>5.6082830025884212E-2</v>
      </c>
      <c r="W17" s="147">
        <v>0.12079378774805849</v>
      </c>
      <c r="X17" s="147">
        <v>-4.5513373597929396E-2</v>
      </c>
      <c r="Y17" s="147">
        <v>-5.5220017256255582E-2</v>
      </c>
      <c r="Z17" s="147">
        <v>2.3943054357204119E-2</v>
      </c>
      <c r="AA17" s="147">
        <v>0.18356341673856713</v>
      </c>
      <c r="AB17" s="147">
        <v>0.17148403796376144</v>
      </c>
      <c r="AC17" s="147">
        <v>7.441760138050002E-2</v>
      </c>
      <c r="AD17" s="147">
        <v>-8.7575496117342944E-2</v>
      </c>
      <c r="AE17" s="147">
        <v>-0.24482312338222634</v>
      </c>
      <c r="AF17" s="147">
        <v>-0.15012942191544465</v>
      </c>
      <c r="AG17" s="147">
        <v>-0.11000862812769663</v>
      </c>
      <c r="AH17" s="147">
        <v>-0.10742018981880963</v>
      </c>
      <c r="AI17" s="147">
        <v>-1.87661777394309E-2</v>
      </c>
      <c r="AJ17" s="152">
        <v>3.2786885245901232E-2</v>
      </c>
    </row>
    <row r="18" spans="2:36" ht="24" customHeight="1">
      <c r="B18" s="47" t="s">
        <v>71</v>
      </c>
      <c r="C18" s="86">
        <v>5</v>
      </c>
      <c r="D18" s="86">
        <v>7</v>
      </c>
      <c r="E18" s="86">
        <v>7</v>
      </c>
      <c r="F18" s="86">
        <v>6</v>
      </c>
      <c r="G18" s="87">
        <v>6</v>
      </c>
      <c r="J18" s="44" t="s">
        <v>82</v>
      </c>
      <c r="K18" s="195" t="s">
        <v>98</v>
      </c>
      <c r="L18" s="46">
        <v>0</v>
      </c>
      <c r="M18" s="147">
        <v>-3.5569105691056868E-2</v>
      </c>
      <c r="N18" s="147">
        <v>-0.16361788617886164</v>
      </c>
      <c r="O18" s="147">
        <v>-1.7276422764227584E-2</v>
      </c>
      <c r="P18" s="147">
        <v>-5.4878048780487743E-2</v>
      </c>
      <c r="Q18" s="147">
        <v>-0.36178861788617878</v>
      </c>
      <c r="R18" s="147">
        <v>-0.50813008130081294</v>
      </c>
      <c r="S18" s="147">
        <v>-0.65548780487804881</v>
      </c>
      <c r="T18" s="147">
        <v>-0.60264227642276413</v>
      </c>
      <c r="U18" s="147">
        <v>-0.44512195121951215</v>
      </c>
      <c r="V18" s="147">
        <v>-0.50508130081300806</v>
      </c>
      <c r="W18" s="147">
        <v>-0.2947154471544714</v>
      </c>
      <c r="X18" s="147">
        <v>-0.17581300813008116</v>
      </c>
      <c r="Y18" s="147">
        <v>-0.38617886178861771</v>
      </c>
      <c r="Z18" s="147">
        <v>-0.44410569105691045</v>
      </c>
      <c r="AA18" s="147">
        <v>-0.4989837398373983</v>
      </c>
      <c r="AB18" s="147">
        <v>-0.59949186991869907</v>
      </c>
      <c r="AC18" s="147">
        <v>-0.63109756097560976</v>
      </c>
      <c r="AD18" s="147">
        <v>-0.45630081300813008</v>
      </c>
      <c r="AE18" s="147">
        <v>-0.38211382113821135</v>
      </c>
      <c r="AF18" s="147">
        <v>-0.40752032520325199</v>
      </c>
      <c r="AG18" s="147">
        <v>-0.27743902439024382</v>
      </c>
      <c r="AH18" s="147">
        <v>-0.14329268292682917</v>
      </c>
      <c r="AI18" s="147">
        <v>-0.26829268292682917</v>
      </c>
      <c r="AJ18" s="152">
        <v>-0.55894308943089421</v>
      </c>
    </row>
    <row r="19" spans="2:36" ht="24" customHeight="1">
      <c r="B19" s="47" t="s">
        <v>72</v>
      </c>
      <c r="C19" s="86">
        <v>1</v>
      </c>
      <c r="D19" s="86">
        <v>6</v>
      </c>
      <c r="E19" s="86">
        <v>3</v>
      </c>
      <c r="F19" s="86">
        <v>8</v>
      </c>
      <c r="G19" s="87">
        <v>8</v>
      </c>
      <c r="J19" s="43" t="s">
        <v>82</v>
      </c>
      <c r="K19" s="194" t="s">
        <v>113</v>
      </c>
      <c r="L19" s="45">
        <v>0</v>
      </c>
      <c r="M19" s="147">
        <v>-1.9230769230769273E-2</v>
      </c>
      <c r="N19" s="147">
        <v>-6.1813186813186816E-2</v>
      </c>
      <c r="O19" s="147">
        <v>0.21703296703296693</v>
      </c>
      <c r="P19" s="147">
        <v>6.7307692307692291E-2</v>
      </c>
      <c r="Q19" s="147">
        <v>-0.1868131868131867</v>
      </c>
      <c r="R19" s="147">
        <v>-0.36813186813186805</v>
      </c>
      <c r="S19" s="147">
        <v>-0.48351648351648346</v>
      </c>
      <c r="T19" s="147">
        <v>-0.39285714285714279</v>
      </c>
      <c r="U19" s="147">
        <v>-0.23763736263736257</v>
      </c>
      <c r="V19" s="147">
        <v>-0.27060439560439553</v>
      </c>
      <c r="W19" s="147">
        <v>-0.10989010989010972</v>
      </c>
      <c r="X19" s="147">
        <v>1.9230769230769384E-2</v>
      </c>
      <c r="Y19" s="147">
        <v>-0.21978021978021967</v>
      </c>
      <c r="Z19" s="147">
        <v>-0.23214285714285698</v>
      </c>
      <c r="AA19" s="147">
        <v>-0.16346153846153832</v>
      </c>
      <c r="AB19" s="147">
        <v>-0.11950549450549419</v>
      </c>
      <c r="AC19" s="147">
        <v>-0.30219780219780201</v>
      </c>
      <c r="AD19" s="147">
        <v>-9.8901098901098661E-2</v>
      </c>
      <c r="AE19" s="147">
        <v>-0.21703296703296671</v>
      </c>
      <c r="AF19" s="147">
        <v>-0.17994505494505464</v>
      </c>
      <c r="AG19" s="147">
        <v>7.9670329670330275E-2</v>
      </c>
      <c r="AH19" s="147">
        <v>-9.6153846153845701E-2</v>
      </c>
      <c r="AI19" s="147">
        <v>-0.10439560439560402</v>
      </c>
      <c r="AJ19" s="152">
        <v>-0.3379120879120876</v>
      </c>
    </row>
    <row r="20" spans="2:36" ht="24" customHeight="1">
      <c r="B20" s="63" t="s">
        <v>75</v>
      </c>
      <c r="C20" s="88">
        <v>6</v>
      </c>
      <c r="D20" s="89">
        <v>8</v>
      </c>
      <c r="E20" s="89">
        <v>8</v>
      </c>
      <c r="F20" s="89">
        <v>7</v>
      </c>
      <c r="G20" s="90">
        <v>7</v>
      </c>
      <c r="J20" s="44" t="s">
        <v>83</v>
      </c>
      <c r="K20" s="195" t="s">
        <v>98</v>
      </c>
      <c r="L20" s="46">
        <v>0</v>
      </c>
      <c r="M20" s="147">
        <v>-0.25524044389642409</v>
      </c>
      <c r="N20" s="147">
        <v>-0.32552404438964244</v>
      </c>
      <c r="O20" s="147">
        <v>-0.39210850801479658</v>
      </c>
      <c r="P20" s="147">
        <v>-0.51405672009864367</v>
      </c>
      <c r="Q20" s="147">
        <v>-0.55240443896424174</v>
      </c>
      <c r="R20" s="147">
        <v>-0.34032059186189889</v>
      </c>
      <c r="S20" s="147">
        <v>-0.25030826140567197</v>
      </c>
      <c r="T20" s="147">
        <v>-0.28113440197287287</v>
      </c>
      <c r="U20" s="147">
        <v>-0.12330456226880371</v>
      </c>
      <c r="V20" s="147">
        <v>3.9457459926017568E-2</v>
      </c>
      <c r="W20" s="147">
        <v>-0.11220715166461126</v>
      </c>
      <c r="X20" s="147">
        <v>-0.46485819975339071</v>
      </c>
      <c r="Y20" s="147">
        <v>-0.6325524044389641</v>
      </c>
      <c r="Z20" s="147">
        <v>-0.50431565967940795</v>
      </c>
      <c r="AA20" s="147">
        <v>-0.55610357583230563</v>
      </c>
      <c r="AB20" s="147">
        <v>-0.45992601726263849</v>
      </c>
      <c r="AC20" s="147">
        <v>-0.39580764488286035</v>
      </c>
      <c r="AD20" s="147">
        <v>-0.45561035758323032</v>
      </c>
      <c r="AE20" s="147">
        <v>-0.52404438964241651</v>
      </c>
      <c r="AF20" s="147">
        <v>-0.43773119605425381</v>
      </c>
      <c r="AG20" s="147">
        <v>-0.41923551171393314</v>
      </c>
      <c r="AH20" s="147">
        <v>-0.42786683107274948</v>
      </c>
      <c r="AI20" s="147">
        <v>-0.45252774352651015</v>
      </c>
      <c r="AJ20" s="152">
        <v>-0.56473489519112186</v>
      </c>
    </row>
    <row r="21" spans="2:36" ht="24" customHeight="1">
      <c r="B21" s="47" t="s">
        <v>76</v>
      </c>
      <c r="C21" s="91">
        <v>2</v>
      </c>
      <c r="D21" s="91">
        <v>4</v>
      </c>
      <c r="E21" s="84">
        <v>4</v>
      </c>
      <c r="F21" s="84">
        <v>3</v>
      </c>
      <c r="G21" s="85">
        <v>3</v>
      </c>
      <c r="J21" s="43" t="s">
        <v>83</v>
      </c>
      <c r="K21" s="194" t="s">
        <v>113</v>
      </c>
      <c r="L21" s="45">
        <v>0</v>
      </c>
      <c r="M21" s="147">
        <v>-0.23450134770889486</v>
      </c>
      <c r="N21" s="147">
        <v>-0.24663072776280315</v>
      </c>
      <c r="O21" s="147">
        <v>-0.17924528301886788</v>
      </c>
      <c r="P21" s="147">
        <v>-0.1361185983827492</v>
      </c>
      <c r="Q21" s="147">
        <v>-0.3153638814016172</v>
      </c>
      <c r="R21" s="147">
        <v>-0.11590296495956875</v>
      </c>
      <c r="S21" s="147">
        <v>-0.2318059299191374</v>
      </c>
      <c r="T21" s="147">
        <v>-0.19541778975741242</v>
      </c>
      <c r="U21" s="147">
        <v>5.9299191374663218E-2</v>
      </c>
      <c r="V21" s="147">
        <v>-0.11320754716981118</v>
      </c>
      <c r="W21" s="147">
        <v>-0.12129380053908345</v>
      </c>
      <c r="X21" s="147">
        <v>-0.3504043126684635</v>
      </c>
      <c r="Y21" s="147">
        <v>-0.41239892183288396</v>
      </c>
      <c r="Z21" s="147">
        <v>-0.31940700808625333</v>
      </c>
      <c r="AA21" s="147">
        <v>-0.42991913746630717</v>
      </c>
      <c r="AB21" s="147">
        <v>-0.40161725067385434</v>
      </c>
      <c r="AC21" s="147">
        <v>-0.27897574123989222</v>
      </c>
      <c r="AD21" s="147">
        <v>-0.33692722371967654</v>
      </c>
      <c r="AE21" s="147">
        <v>-0.4339622641509433</v>
      </c>
      <c r="AF21" s="147">
        <v>-0.38409703504043113</v>
      </c>
      <c r="AG21" s="147">
        <v>-0.38679245283018859</v>
      </c>
      <c r="AH21" s="147">
        <v>-0.34366576819407002</v>
      </c>
      <c r="AI21" s="147">
        <v>-0.25336927223719674</v>
      </c>
      <c r="AJ21" s="152">
        <v>-0.4043126684636118</v>
      </c>
    </row>
    <row r="22" spans="2:36" ht="24" customHeight="1">
      <c r="B22" s="64" t="s">
        <v>74</v>
      </c>
      <c r="C22" s="92">
        <v>8</v>
      </c>
      <c r="D22" s="92">
        <v>1</v>
      </c>
      <c r="E22" s="92">
        <v>1</v>
      </c>
      <c r="F22" s="92">
        <v>1</v>
      </c>
      <c r="G22" s="93">
        <v>1</v>
      </c>
      <c r="J22" s="44" t="s">
        <v>84</v>
      </c>
      <c r="K22" s="193" t="s">
        <v>113</v>
      </c>
      <c r="L22" s="42">
        <v>0</v>
      </c>
      <c r="M22" s="147">
        <v>-9.5435684647302899E-2</v>
      </c>
      <c r="N22" s="147">
        <v>4.7717842323651283E-2</v>
      </c>
      <c r="O22" s="147">
        <v>-0.12240663900414939</v>
      </c>
      <c r="P22" s="147">
        <v>-7.8838174273858974E-2</v>
      </c>
      <c r="Q22" s="147">
        <v>0.10995850622406622</v>
      </c>
      <c r="R22" s="147">
        <v>2.0746887966804906E-2</v>
      </c>
      <c r="S22" s="147">
        <v>-0.12863070539419086</v>
      </c>
      <c r="T22" s="147">
        <v>-5.1867219917012375E-2</v>
      </c>
      <c r="U22" s="147">
        <v>-5.6016597510373467E-2</v>
      </c>
      <c r="V22" s="147">
        <v>1.0373443983402453E-2</v>
      </c>
      <c r="W22" s="147">
        <v>0.14937759336099576</v>
      </c>
      <c r="X22" s="147">
        <v>-8.2987551867219955E-2</v>
      </c>
      <c r="Y22" s="147">
        <v>-3.319502074688796E-2</v>
      </c>
      <c r="Z22" s="147">
        <v>0.13278008298755184</v>
      </c>
      <c r="AJ22" s="41"/>
    </row>
    <row r="23" spans="2:36" ht="24" customHeight="1" thickBot="1">
      <c r="B23" s="65" t="s">
        <v>73</v>
      </c>
      <c r="C23" s="94">
        <v>4</v>
      </c>
      <c r="D23" s="94">
        <v>2</v>
      </c>
      <c r="E23" s="94">
        <v>2</v>
      </c>
      <c r="F23" s="94">
        <v>2</v>
      </c>
      <c r="G23" s="95">
        <v>2</v>
      </c>
      <c r="J23" s="43" t="s">
        <v>84</v>
      </c>
      <c r="K23" s="193" t="s">
        <v>101</v>
      </c>
      <c r="L23" s="42">
        <v>0</v>
      </c>
      <c r="M23" s="147">
        <v>-9.1384317521781222E-2</v>
      </c>
      <c r="N23" s="147">
        <v>7.6089060987415413E-2</v>
      </c>
      <c r="O23" s="147">
        <v>6.3891577928364196E-2</v>
      </c>
      <c r="P23" s="147">
        <v>-1.9361084220703706E-4</v>
      </c>
      <c r="Q23" s="147">
        <v>0.21316553727008714</v>
      </c>
      <c r="R23" s="147">
        <v>0.17657308809293326</v>
      </c>
      <c r="S23" s="147">
        <v>0.20387221684414314</v>
      </c>
      <c r="T23" s="147">
        <v>0.4714424007744431</v>
      </c>
      <c r="U23" s="147">
        <v>0.65091965150048381</v>
      </c>
      <c r="V23" s="147">
        <v>0.71597289448209067</v>
      </c>
      <c r="W23" s="147">
        <v>0.97773475314617597</v>
      </c>
      <c r="X23" s="147">
        <v>0.56902226524685373</v>
      </c>
      <c r="Y23" s="147">
        <v>0.46447241045498533</v>
      </c>
      <c r="Z23" s="147">
        <v>0.77366892545982546</v>
      </c>
      <c r="AA23" s="153"/>
      <c r="AB23" s="153"/>
      <c r="AC23" s="153"/>
      <c r="AD23" s="153"/>
      <c r="AE23" s="153"/>
      <c r="AF23" s="153"/>
      <c r="AG23" s="153"/>
      <c r="AH23" s="153"/>
      <c r="AI23" s="153"/>
      <c r="AJ23" s="154"/>
    </row>
    <row r="24" spans="2:36" ht="24" customHeight="1" thickBot="1">
      <c r="J24" s="216" t="s">
        <v>58</v>
      </c>
      <c r="K24" s="217"/>
      <c r="L24" s="40">
        <v>0</v>
      </c>
      <c r="M24" s="39">
        <f>AVERAGE(M16:M23)</f>
        <v>-7.6695924544337157E-2</v>
      </c>
      <c r="N24" s="39">
        <f t="shared" ref="N24:AJ24" si="1">AVERAGE(N16:N23)</f>
        <v>-8.3400819275740751E-2</v>
      </c>
      <c r="O24" s="39">
        <f t="shared" si="1"/>
        <v>-0.12141213497328673</v>
      </c>
      <c r="P24" s="39">
        <f t="shared" si="1"/>
        <v>-0.14660441890766129</v>
      </c>
      <c r="Q24" s="39">
        <f t="shared" si="1"/>
        <v>-0.20328604787943613</v>
      </c>
      <c r="R24" s="39">
        <f t="shared" si="1"/>
        <v>-0.22171962723704675</v>
      </c>
      <c r="S24" s="39">
        <f t="shared" si="1"/>
        <v>-0.22995516425113799</v>
      </c>
      <c r="T24" s="39">
        <f t="shared" si="1"/>
        <v>-0.16362881222288744</v>
      </c>
      <c r="U24" s="39">
        <f t="shared" si="1"/>
        <v>-8.0209286751964814E-2</v>
      </c>
      <c r="V24" s="39">
        <f t="shared" si="1"/>
        <v>-2.2827881690748023E-2</v>
      </c>
      <c r="W24" s="39">
        <f t="shared" si="1"/>
        <v>6.0677007920389853E-2</v>
      </c>
      <c r="X24" s="39">
        <f t="shared" si="1"/>
        <v>-9.0388029182158713E-2</v>
      </c>
      <c r="Y24" s="39">
        <f t="shared" si="1"/>
        <v>-0.19093197188935884</v>
      </c>
      <c r="Z24" s="39">
        <f t="shared" si="1"/>
        <v>-9.4964517432777174E-2</v>
      </c>
      <c r="AA24" s="39">
        <f t="shared" si="1"/>
        <v>-0.24698181270480754</v>
      </c>
      <c r="AB24" s="39">
        <f t="shared" si="1"/>
        <v>-0.24854139586980706</v>
      </c>
      <c r="AC24" s="39">
        <f t="shared" si="1"/>
        <v>-0.28775631004073854</v>
      </c>
      <c r="AD24" s="39">
        <f t="shared" si="1"/>
        <v>-0.28889953018505005</v>
      </c>
      <c r="AE24" s="39">
        <f t="shared" si="1"/>
        <v>-0.36516961020619582</v>
      </c>
      <c r="AF24" s="39">
        <f t="shared" si="1"/>
        <v>-0.31305452379124621</v>
      </c>
      <c r="AG24" s="39">
        <f t="shared" si="1"/>
        <v>-0.22682142917716078</v>
      </c>
      <c r="AH24" s="39">
        <f t="shared" si="1"/>
        <v>-0.22311221512817395</v>
      </c>
      <c r="AI24" s="39">
        <f t="shared" si="1"/>
        <v>-0.2063622331056317</v>
      </c>
      <c r="AJ24" s="38">
        <f t="shared" si="1"/>
        <v>-0.33200332755680922</v>
      </c>
    </row>
    <row r="25" spans="2:36" ht="30" customHeigh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1.05" hidden="1"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1.05" hidden="1" customHeight="1">
      <c r="J27" s="206" t="s">
        <v>91</v>
      </c>
      <c r="K27" s="207"/>
      <c r="L27" s="158">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52">
        <v>0.15979569178065556</v>
      </c>
    </row>
    <row r="28" spans="2:36" ht="1.05" hidden="1"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0.38842044041457102</v>
      </c>
      <c r="AF28" s="147">
        <v>0.46797880909447076</v>
      </c>
      <c r="AG28" s="147">
        <v>0.43129381818358792</v>
      </c>
      <c r="AH28" s="147">
        <v>0.46996211042729796</v>
      </c>
      <c r="AI28" s="147">
        <v>0.44902672224777396</v>
      </c>
      <c r="AJ28" s="152">
        <v>0.36564289381915693</v>
      </c>
    </row>
    <row r="29" spans="2:36" ht="1.05" hidden="1"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52">
        <v>0.24249812060483178</v>
      </c>
    </row>
    <row r="30" spans="2:36" ht="1.05" hidden="1"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1.05" hidden="1"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0.20531230398190789</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8" spans="10:36" ht="35.25" hidden="1" thickBot="1">
      <c r="J68" s="214" t="s">
        <v>131</v>
      </c>
      <c r="K68" s="21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hidden="1">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hidden="1">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hidden="1">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7.25" hidden="1"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7.25" hidden="1"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J24:K24"/>
    <mergeCell ref="F1:H1"/>
    <mergeCell ref="B2:D3"/>
    <mergeCell ref="J2:K2"/>
    <mergeCell ref="J11:K11"/>
    <mergeCell ref="J15:K15"/>
    <mergeCell ref="J73:K73"/>
    <mergeCell ref="J26:K26"/>
    <mergeCell ref="J27:K27"/>
    <mergeCell ref="J28:K28"/>
    <mergeCell ref="J29:K29"/>
    <mergeCell ref="J30:K30"/>
    <mergeCell ref="J31:K31"/>
    <mergeCell ref="J68:K68"/>
    <mergeCell ref="J69:K69"/>
    <mergeCell ref="J70:K70"/>
    <mergeCell ref="J71:K71"/>
    <mergeCell ref="J72:K72"/>
  </mergeCells>
  <phoneticPr fontId="13" type="noConversion"/>
  <conditionalFormatting sqref="C16:G23">
    <cfRule type="cellIs" dxfId="82" priority="6" operator="between">
      <formula>7</formula>
      <formula>8</formula>
    </cfRule>
    <cfRule type="cellIs" dxfId="81" priority="7" operator="between">
      <formula>1</formula>
      <formula>2</formula>
    </cfRule>
  </conditionalFormatting>
  <conditionalFormatting sqref="F3">
    <cfRule type="cellIs" dxfId="80" priority="2" operator="equal">
      <formula>"GOOD"</formula>
    </cfRule>
    <cfRule type="cellIs" dxfId="79" priority="4" operator="equal">
      <formula>"GOOD"</formula>
    </cfRule>
    <cfRule type="top10" dxfId="78" priority="5" percent="1" rank="10"/>
  </conditionalFormatting>
  <conditionalFormatting sqref="G3">
    <cfRule type="cellIs" dxfId="77" priority="1" operator="equal">
      <formula>"BAD"</formula>
    </cfRule>
    <cfRule type="cellIs" dxfId="76" priority="3" operator="equal">
      <formula>"BAD"</formula>
    </cfRule>
  </conditionalFormatting>
  <pageMargins left="0.7" right="0.7" top="0.75" bottom="0.75" header="0.3" footer="0.3"/>
  <pageSetup paperSize="9" orientation="portrait" horizontalDpi="360" verticalDpi="36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16560-EB97-3B48-AF11-FA973D95A9A9}">
  <dimension ref="B1:AJ73"/>
  <sheetViews>
    <sheetView topLeftCell="M65" zoomScale="66" zoomScaleNormal="55" workbookViewId="0">
      <selection activeCell="B15" sqref="B15:G2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18"/>
      <c r="G1" s="219"/>
      <c r="H1" s="219"/>
    </row>
    <row r="2" spans="2:36" ht="24" customHeight="1" thickBot="1">
      <c r="B2" s="240" t="s">
        <v>119</v>
      </c>
      <c r="C2" s="241"/>
      <c r="D2" s="242"/>
      <c r="J2" s="226" t="s">
        <v>60</v>
      </c>
      <c r="K2" s="227"/>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43"/>
      <c r="C3" s="244"/>
      <c r="D3" s="245"/>
      <c r="F3" s="188" t="s">
        <v>130</v>
      </c>
      <c r="G3" s="189" t="s">
        <v>129</v>
      </c>
      <c r="J3" s="48" t="s">
        <v>81</v>
      </c>
      <c r="K3" s="190" t="s">
        <v>102</v>
      </c>
      <c r="L3" s="42">
        <v>0</v>
      </c>
      <c r="M3" s="147">
        <v>8.7490206320188113E-2</v>
      </c>
      <c r="N3" s="147">
        <v>5.3538782972055499E-2</v>
      </c>
      <c r="O3" s="147">
        <v>-0.26795507965526244</v>
      </c>
      <c r="P3" s="147">
        <v>-0.19639592582919829</v>
      </c>
      <c r="Q3" s="147">
        <v>-0.2149386262731785</v>
      </c>
      <c r="R3" s="147">
        <v>-0.29093758161399852</v>
      </c>
      <c r="S3" s="147">
        <v>-0.14259597806215729</v>
      </c>
      <c r="T3" s="147">
        <v>-0.10603290676416832</v>
      </c>
      <c r="U3" s="147">
        <v>-0.16949595194567779</v>
      </c>
      <c r="V3" s="147">
        <v>-1.2013580569339322E-2</v>
      </c>
      <c r="W3" s="147">
        <v>-3.1078610603290646E-2</v>
      </c>
      <c r="X3" s="147">
        <v>-0.1175241577435362</v>
      </c>
      <c r="Y3" s="147">
        <v>-0.1329328806476886</v>
      </c>
      <c r="Z3" s="147">
        <v>-8.2005745625489679E-2</v>
      </c>
      <c r="AA3" s="147">
        <v>0.2013580569339255</v>
      </c>
      <c r="AB3" s="147">
        <v>0.16897362235570657</v>
      </c>
      <c r="AC3" s="147">
        <v>8.5923217550274211E-2</v>
      </c>
      <c r="AD3" s="147">
        <v>-6.2940715591538243E-2</v>
      </c>
      <c r="AE3" s="147">
        <v>-0.20867067119352312</v>
      </c>
      <c r="AF3" s="147">
        <v>-6.2157221206581403E-2</v>
      </c>
      <c r="AG3" s="147">
        <v>2.1676677983807568E-2</v>
      </c>
      <c r="AH3" s="147">
        <v>-6.0067902846696608E-3</v>
      </c>
      <c r="AI3" s="147">
        <v>7.3387307390963663E-2</v>
      </c>
      <c r="AJ3" s="152">
        <v>0.21859493340297709</v>
      </c>
    </row>
    <row r="4" spans="2:36" ht="24" customHeight="1" thickBot="1">
      <c r="J4" s="43" t="s">
        <v>81</v>
      </c>
      <c r="K4" s="191" t="s">
        <v>99</v>
      </c>
      <c r="L4" s="45">
        <v>0</v>
      </c>
      <c r="M4" s="147">
        <v>2.0032995522036412E-2</v>
      </c>
      <c r="N4" s="147">
        <v>1.1784115012962726E-3</v>
      </c>
      <c r="O4" s="147">
        <v>-0.21140702333254768</v>
      </c>
      <c r="P4" s="147">
        <v>-0.16780579778458626</v>
      </c>
      <c r="Q4" s="147">
        <v>-0.19868017911854818</v>
      </c>
      <c r="R4" s="147">
        <v>-0.32665566815932123</v>
      </c>
      <c r="S4" s="147">
        <v>-0.20645769502710343</v>
      </c>
      <c r="T4" s="147">
        <v>-0.12868253594155077</v>
      </c>
      <c r="U4" s="147">
        <v>-0.2649069054913975</v>
      </c>
      <c r="V4" s="147">
        <v>-0.21894885694084365</v>
      </c>
      <c r="W4" s="147">
        <v>-0.26302144708932351</v>
      </c>
      <c r="X4" s="147">
        <v>-0.2858826302144708</v>
      </c>
      <c r="Y4" s="147">
        <v>-0.33160499646476538</v>
      </c>
      <c r="Z4" s="147">
        <v>-0.34103228847513534</v>
      </c>
      <c r="AA4" s="147">
        <v>-0.20103700212114051</v>
      </c>
      <c r="AB4" s="147">
        <v>-0.24228140466650938</v>
      </c>
      <c r="AC4" s="147">
        <v>-0.29908083902898874</v>
      </c>
      <c r="AD4" s="147">
        <v>-0.39948149893942952</v>
      </c>
      <c r="AE4" s="147">
        <v>-0.50412444025453684</v>
      </c>
      <c r="AF4" s="147">
        <v>-0.4296488333726135</v>
      </c>
      <c r="AG4" s="147">
        <v>-0.35564459109120872</v>
      </c>
      <c r="AH4" s="147">
        <v>-0.32901249116191345</v>
      </c>
      <c r="AI4" s="147">
        <v>-0.23073297195380593</v>
      </c>
      <c r="AJ4" s="152">
        <v>-0.34480320527928321</v>
      </c>
    </row>
    <row r="5" spans="2:36" ht="24" customHeight="1">
      <c r="B5" s="51"/>
      <c r="C5" s="50">
        <v>2021</v>
      </c>
      <c r="D5" s="50">
        <v>2022</v>
      </c>
      <c r="E5" s="50">
        <v>2023</v>
      </c>
      <c r="F5" s="50">
        <v>2024</v>
      </c>
      <c r="G5" s="49">
        <v>2025</v>
      </c>
      <c r="J5" s="44" t="s">
        <v>82</v>
      </c>
      <c r="K5" s="192" t="s">
        <v>101</v>
      </c>
      <c r="L5" s="46">
        <v>0</v>
      </c>
      <c r="M5" s="147">
        <v>0.12969628796400445</v>
      </c>
      <c r="N5" s="147">
        <v>5.9955005624297009E-2</v>
      </c>
      <c r="O5" s="147">
        <v>0.37289088863891995</v>
      </c>
      <c r="P5" s="147">
        <v>0.34488188976377954</v>
      </c>
      <c r="Q5" s="147">
        <v>-3.4083239595050552E-2</v>
      </c>
      <c r="R5" s="147">
        <v>-0.15950506186726654</v>
      </c>
      <c r="S5" s="147">
        <v>-0.27154105736782885</v>
      </c>
      <c r="T5" s="147">
        <v>-0.25106861642294709</v>
      </c>
      <c r="U5" s="147">
        <v>-8.7514060742406974E-2</v>
      </c>
      <c r="V5" s="147">
        <v>-0.13397075365579292</v>
      </c>
      <c r="W5" s="147">
        <v>-0.1960629921259841</v>
      </c>
      <c r="X5" s="147">
        <v>-0.1627671541057365</v>
      </c>
      <c r="Y5" s="147">
        <v>-0.39268841394825627</v>
      </c>
      <c r="Z5" s="147">
        <v>-0.40787401574803139</v>
      </c>
      <c r="AA5" s="147">
        <v>-0.43498312710911136</v>
      </c>
      <c r="AB5" s="147">
        <v>-0.36929133858267715</v>
      </c>
      <c r="AC5" s="147">
        <v>-0.52665916760404952</v>
      </c>
      <c r="AD5" s="147">
        <v>-0.38065241844769404</v>
      </c>
      <c r="AE5" s="147">
        <v>-0.26872890888638923</v>
      </c>
      <c r="AF5" s="147">
        <v>-7.9415073115860602E-2</v>
      </c>
      <c r="AG5" s="147">
        <v>5.8717660292463503E-2</v>
      </c>
      <c r="AH5" s="147">
        <v>0.152193475815523</v>
      </c>
      <c r="AI5" s="147">
        <v>-0.17322834645669305</v>
      </c>
      <c r="AJ5" s="152">
        <v>-0.41901012373453328</v>
      </c>
    </row>
    <row r="6" spans="2:36" ht="24" customHeight="1">
      <c r="B6" s="47" t="s">
        <v>69</v>
      </c>
      <c r="C6" s="138">
        <v>-5.8035671851480179</v>
      </c>
      <c r="D6" s="139">
        <v>65.136916535433073</v>
      </c>
      <c r="E6" s="139">
        <v>10.925339270072993</v>
      </c>
      <c r="F6" s="139">
        <v>13.535981418439714</v>
      </c>
      <c r="G6" s="140">
        <v>91.146379459459467</v>
      </c>
      <c r="H6" s="1"/>
      <c r="J6" s="43" t="s">
        <v>82</v>
      </c>
      <c r="K6" s="191" t="s">
        <v>100</v>
      </c>
      <c r="L6" s="45">
        <v>0</v>
      </c>
      <c r="M6" s="147">
        <v>3.5748331744518601E-2</v>
      </c>
      <c r="N6" s="147">
        <v>7.0781696854146814E-2</v>
      </c>
      <c r="O6" s="147">
        <v>0.26739752144899898</v>
      </c>
      <c r="P6" s="147">
        <v>0.15896091515729283</v>
      </c>
      <c r="Q6" s="147">
        <v>2.3832221163022638E-4</v>
      </c>
      <c r="R6" s="147">
        <v>-0.1163012392755004</v>
      </c>
      <c r="S6" s="147">
        <v>-0.24618684461391793</v>
      </c>
      <c r="T6" s="147">
        <v>-9.8903717826501203E-2</v>
      </c>
      <c r="U6" s="147">
        <v>-6.8875119161105669E-2</v>
      </c>
      <c r="V6" s="147">
        <v>-0.14609151572926593</v>
      </c>
      <c r="W6" s="147">
        <v>-0.10891325071496649</v>
      </c>
      <c r="X6" s="147">
        <v>2.4547187797902881E-2</v>
      </c>
      <c r="Y6" s="147">
        <v>2.5262154432793116E-2</v>
      </c>
      <c r="Z6" s="147">
        <v>1.4299332697806921E-3</v>
      </c>
      <c r="AA6" s="147">
        <v>-3.7178265014299439E-2</v>
      </c>
      <c r="AB6" s="147">
        <v>-0.10557673975214499</v>
      </c>
      <c r="AC6" s="147">
        <v>-0.13941849380362259</v>
      </c>
      <c r="AD6" s="147">
        <v>7.7454718779790266E-2</v>
      </c>
      <c r="AE6" s="147">
        <v>0.14180171591992341</v>
      </c>
      <c r="AF6" s="147">
        <v>0.25357483317445162</v>
      </c>
      <c r="AG6" s="147">
        <v>0.5431363203050521</v>
      </c>
      <c r="AH6" s="147">
        <v>0.74571020019065726</v>
      </c>
      <c r="AI6" s="147">
        <v>0.72259294566253529</v>
      </c>
      <c r="AJ6" s="152">
        <v>0.17302192564346974</v>
      </c>
    </row>
    <row r="7" spans="2:36" ht="24" customHeight="1">
      <c r="B7" s="47" t="s">
        <v>70</v>
      </c>
      <c r="C7" s="141">
        <v>24.74023541453429</v>
      </c>
      <c r="D7" s="142">
        <v>35.693368983957221</v>
      </c>
      <c r="E7" s="142">
        <v>36.363636363636367</v>
      </c>
      <c r="F7" s="142">
        <v>43.432329896907213</v>
      </c>
      <c r="G7" s="143">
        <v>51.949547511312211</v>
      </c>
      <c r="H7" s="1"/>
      <c r="J7" s="44" t="s">
        <v>83</v>
      </c>
      <c r="K7" s="192" t="s">
        <v>99</v>
      </c>
      <c r="L7" s="46">
        <v>0</v>
      </c>
      <c r="M7" s="147">
        <v>-0.10683453237410079</v>
      </c>
      <c r="N7" s="147">
        <v>-7.5539568345323715E-2</v>
      </c>
      <c r="O7" s="147">
        <v>-1.4748201438848918E-2</v>
      </c>
      <c r="P7" s="147">
        <v>-6.6546762589928088E-2</v>
      </c>
      <c r="Q7" s="147">
        <v>2.1582733812950394E-3</v>
      </c>
      <c r="R7" s="147">
        <v>2.6978417266187105E-2</v>
      </c>
      <c r="S7" s="147">
        <v>6.6187050359712396E-2</v>
      </c>
      <c r="T7" s="147">
        <v>0.12841726618705041</v>
      </c>
      <c r="U7" s="147">
        <v>0.17230215827338147</v>
      </c>
      <c r="V7" s="147">
        <v>7.6258992805755543E-2</v>
      </c>
      <c r="W7" s="147">
        <v>8.8848920863309422E-2</v>
      </c>
      <c r="X7" s="147">
        <v>0.17697841726618702</v>
      </c>
      <c r="Y7" s="147">
        <v>-1.4028776978417201E-2</v>
      </c>
      <c r="Z7" s="147">
        <v>0.17697841726618702</v>
      </c>
      <c r="AA7" s="147">
        <v>0.14388489208633093</v>
      </c>
      <c r="AB7" s="147">
        <v>9.676258992805753E-2</v>
      </c>
      <c r="AC7" s="147">
        <v>0.16654676258992795</v>
      </c>
      <c r="AD7" s="147">
        <v>0.13165467625899274</v>
      </c>
      <c r="AE7" s="147">
        <v>8.0575539568345178E-2</v>
      </c>
      <c r="AF7" s="147">
        <v>0.24136690647481984</v>
      </c>
      <c r="AG7" s="147">
        <v>0.47374100719424428</v>
      </c>
      <c r="AH7" s="147">
        <v>0.70215827338129477</v>
      </c>
      <c r="AI7" s="147">
        <v>0.76438848920863278</v>
      </c>
      <c r="AJ7" s="152">
        <v>0.34568345323740979</v>
      </c>
    </row>
    <row r="8" spans="2:36" ht="24" customHeight="1">
      <c r="B8" s="47" t="s">
        <v>71</v>
      </c>
      <c r="C8" s="141">
        <v>-28.270833333333336</v>
      </c>
      <c r="D8" s="142">
        <v>-60.411764705882348</v>
      </c>
      <c r="E8" s="142">
        <v>-109.19999999999999</v>
      </c>
      <c r="F8" s="142">
        <v>18.918918918918919</v>
      </c>
      <c r="G8" s="143">
        <v>-7.8500000000000005</v>
      </c>
      <c r="J8" s="43" t="s">
        <v>83</v>
      </c>
      <c r="K8" s="191" t="s">
        <v>100</v>
      </c>
      <c r="L8" s="45">
        <v>0</v>
      </c>
      <c r="M8" s="147">
        <v>6.9783670621070826E-4</v>
      </c>
      <c r="N8" s="147">
        <v>-2.2563386834147492E-2</v>
      </c>
      <c r="O8" s="147">
        <v>-6.0246568969527847E-2</v>
      </c>
      <c r="P8" s="147">
        <v>-0.1270062805303559</v>
      </c>
      <c r="Q8" s="147">
        <v>-0.16003721795766457</v>
      </c>
      <c r="R8" s="147">
        <v>5.1639916259595298E-2</v>
      </c>
      <c r="S8" s="147">
        <v>0.11444521981856237</v>
      </c>
      <c r="T8" s="147">
        <v>0.22354035822284257</v>
      </c>
      <c r="U8" s="147">
        <v>0.50616422423819496</v>
      </c>
      <c r="V8" s="147">
        <v>0.70388462433123977</v>
      </c>
      <c r="W8" s="147">
        <v>0.68132123749709228</v>
      </c>
      <c r="X8" s="147">
        <v>0.14491742265643159</v>
      </c>
      <c r="Y8" s="147">
        <v>2.9774366131658514E-2</v>
      </c>
      <c r="Z8" s="147">
        <v>0.18469411491044418</v>
      </c>
      <c r="AA8" s="147">
        <v>0.15096534077692469</v>
      </c>
      <c r="AB8" s="147">
        <v>0.23191439869737152</v>
      </c>
      <c r="AC8" s="147">
        <v>0.46033961386368927</v>
      </c>
      <c r="AD8" s="147">
        <v>0.15794370783903244</v>
      </c>
      <c r="AE8" s="147">
        <v>-2.9309141660851412E-2</v>
      </c>
      <c r="AF8" s="147">
        <v>-3.0239590602464395E-3</v>
      </c>
      <c r="AG8" s="147">
        <v>0.17003954408001865</v>
      </c>
      <c r="AH8" s="147">
        <v>0.18236799255640834</v>
      </c>
      <c r="AI8" s="147">
        <v>0.20027913468248437</v>
      </c>
      <c r="AJ8" s="152">
        <v>-0.14445219818562449</v>
      </c>
    </row>
    <row r="9" spans="2:36" ht="24" customHeight="1">
      <c r="B9" s="47" t="s">
        <v>72</v>
      </c>
      <c r="C9" s="141">
        <v>21.548387096774192</v>
      </c>
      <c r="D9" s="142">
        <v>485.64285714285705</v>
      </c>
      <c r="E9" s="142">
        <v>13.133545310015897</v>
      </c>
      <c r="F9" s="142">
        <v>-6.977020014825797</v>
      </c>
      <c r="G9" s="143">
        <v>-34.383064516129032</v>
      </c>
      <c r="J9" s="44" t="s">
        <v>84</v>
      </c>
      <c r="K9" s="190" t="s">
        <v>99</v>
      </c>
      <c r="L9" s="42">
        <v>0</v>
      </c>
      <c r="M9" s="147">
        <v>-0.16228606356968212</v>
      </c>
      <c r="N9" s="147">
        <v>0</v>
      </c>
      <c r="O9" s="147">
        <v>-2.8117359413202925E-2</v>
      </c>
      <c r="P9" s="147">
        <v>-6.8154034229828908E-2</v>
      </c>
      <c r="Q9" s="147">
        <v>-8.8630806845966248E-3</v>
      </c>
      <c r="R9" s="147">
        <v>-3.8508557457212711E-2</v>
      </c>
      <c r="S9" s="147">
        <v>-8.1907090464547694E-2</v>
      </c>
      <c r="T9" s="147">
        <v>5.4706601466992577E-2</v>
      </c>
      <c r="U9" s="147">
        <v>0.2521393643031784</v>
      </c>
      <c r="V9" s="147">
        <v>0.44621026894865534</v>
      </c>
      <c r="W9" s="147">
        <v>0.49908312958435208</v>
      </c>
      <c r="X9" s="147">
        <v>0.14333740831295838</v>
      </c>
      <c r="Y9" s="147">
        <v>0.15892420537897323</v>
      </c>
      <c r="Z9" s="147">
        <v>0.3126528117359415</v>
      </c>
      <c r="AJ9" s="41"/>
    </row>
    <row r="10" spans="2:36" ht="24" customHeight="1" thickBot="1">
      <c r="B10" s="63" t="s">
        <v>75</v>
      </c>
      <c r="C10" s="141">
        <v>-24.561403508771932</v>
      </c>
      <c r="D10" s="142">
        <v>-7.5892857142857135</v>
      </c>
      <c r="E10" s="142">
        <v>-8.064516129032258</v>
      </c>
      <c r="F10" s="142">
        <v>-2.6086956521739131</v>
      </c>
      <c r="G10" s="143">
        <v>-3.036144578313253</v>
      </c>
      <c r="J10" s="43" t="s">
        <v>84</v>
      </c>
      <c r="K10" s="190" t="s">
        <v>98</v>
      </c>
      <c r="L10" s="42">
        <v>0</v>
      </c>
      <c r="M10" s="147">
        <v>-0.31336405529953915</v>
      </c>
      <c r="N10" s="147">
        <v>-7.373271889400923E-2</v>
      </c>
      <c r="O10" s="147">
        <v>-0.17050691244239624</v>
      </c>
      <c r="P10" s="147">
        <v>9.2165898617511122E-3</v>
      </c>
      <c r="Q10" s="147">
        <v>0.12903225806451624</v>
      </c>
      <c r="R10" s="147">
        <v>1.7281105990783363E-2</v>
      </c>
      <c r="S10" s="147">
        <v>-0.1105990783410139</v>
      </c>
      <c r="T10" s="147">
        <v>5.0691244239631228E-2</v>
      </c>
      <c r="U10" s="147">
        <v>8.5253456221198176E-2</v>
      </c>
      <c r="V10" s="147">
        <v>6.9124423963133452E-2</v>
      </c>
      <c r="W10" s="147">
        <v>2.3041474654377891E-2</v>
      </c>
      <c r="X10" s="147">
        <v>-0.18663594470046097</v>
      </c>
      <c r="Y10" s="147">
        <v>-0.16359447004608307</v>
      </c>
      <c r="Z10" s="147">
        <v>0.39400921658986165</v>
      </c>
      <c r="AA10" s="153"/>
      <c r="AB10" s="153"/>
      <c r="AC10" s="153"/>
      <c r="AD10" s="153"/>
      <c r="AE10" s="153"/>
      <c r="AF10" s="153"/>
      <c r="AG10" s="153"/>
      <c r="AH10" s="153"/>
      <c r="AI10" s="153"/>
      <c r="AJ10" s="154"/>
    </row>
    <row r="11" spans="2:36" ht="24" customHeight="1" thickBot="1">
      <c r="B11" s="47" t="s">
        <v>76</v>
      </c>
      <c r="C11" s="141">
        <v>13.793103448275861</v>
      </c>
      <c r="D11" s="142">
        <v>100.44444444444444</v>
      </c>
      <c r="E11" s="142">
        <v>23.770491803278688</v>
      </c>
      <c r="F11" s="142">
        <v>11.811688311688313</v>
      </c>
      <c r="G11" s="143">
        <v>48.084337349397586</v>
      </c>
      <c r="J11" s="216" t="s">
        <v>58</v>
      </c>
      <c r="K11" s="217"/>
      <c r="L11" s="40">
        <v>0</v>
      </c>
      <c r="M11" s="39">
        <f t="shared" ref="M11:AJ11" si="0">AVERAGE(M3:M10)</f>
        <v>-3.8602374123295473E-2</v>
      </c>
      <c r="N11" s="39">
        <f t="shared" si="0"/>
        <v>1.7022778597893945E-3</v>
      </c>
      <c r="O11" s="39">
        <f t="shared" si="0"/>
        <v>-1.4086591895483391E-2</v>
      </c>
      <c r="P11" s="39">
        <f t="shared" si="0"/>
        <v>-1.4106175772634247E-2</v>
      </c>
      <c r="Q11" s="39">
        <f t="shared" si="0"/>
        <v>-6.0646686246449616E-2</v>
      </c>
      <c r="R11" s="39">
        <f t="shared" si="0"/>
        <v>-0.1045010836070917</v>
      </c>
      <c r="S11" s="39">
        <f t="shared" si="0"/>
        <v>-0.10983193421228679</v>
      </c>
      <c r="T11" s="39">
        <f t="shared" si="0"/>
        <v>-1.5916538354831325E-2</v>
      </c>
      <c r="U11" s="39">
        <f t="shared" si="0"/>
        <v>5.3133395711920633E-2</v>
      </c>
      <c r="V11" s="39">
        <f t="shared" si="0"/>
        <v>9.8056700394192786E-2</v>
      </c>
      <c r="W11" s="39">
        <f t="shared" si="0"/>
        <v>8.6652307758195865E-2</v>
      </c>
      <c r="X11" s="39">
        <f t="shared" si="0"/>
        <v>-3.2878681341340574E-2</v>
      </c>
      <c r="Y11" s="39">
        <f t="shared" si="0"/>
        <v>-0.10261110151772321</v>
      </c>
      <c r="Z11" s="39">
        <f t="shared" si="0"/>
        <v>2.985655549044483E-2</v>
      </c>
      <c r="AA11" s="39">
        <f t="shared" si="0"/>
        <v>-2.9498350741228363E-2</v>
      </c>
      <c r="AB11" s="39">
        <f t="shared" si="0"/>
        <v>-3.6583145336699319E-2</v>
      </c>
      <c r="AC11" s="39">
        <f t="shared" si="0"/>
        <v>-4.2058151072128236E-2</v>
      </c>
      <c r="AD11" s="39">
        <f t="shared" si="0"/>
        <v>-7.9336921683474393E-2</v>
      </c>
      <c r="AE11" s="39">
        <f t="shared" si="0"/>
        <v>-0.13140931775117201</v>
      </c>
      <c r="AF11" s="39">
        <f t="shared" si="0"/>
        <v>-1.3217224517671747E-2</v>
      </c>
      <c r="AG11" s="39">
        <f t="shared" si="0"/>
        <v>0.15194443646072955</v>
      </c>
      <c r="AH11" s="39">
        <f t="shared" si="0"/>
        <v>0.24123511008288337</v>
      </c>
      <c r="AI11" s="39">
        <f t="shared" si="0"/>
        <v>0.22611442642235283</v>
      </c>
      <c r="AJ11" s="38">
        <f t="shared" si="0"/>
        <v>-2.8494202485930726E-2</v>
      </c>
    </row>
    <row r="12" spans="2:36" ht="24" customHeight="1">
      <c r="B12" s="64" t="s">
        <v>74</v>
      </c>
      <c r="C12" s="141">
        <v>-7.029508196721312</v>
      </c>
      <c r="D12" s="142">
        <v>21.955156950672645</v>
      </c>
      <c r="E12" s="142">
        <v>5.244613434727504</v>
      </c>
      <c r="F12" s="142">
        <v>11.200000000000001</v>
      </c>
      <c r="G12" s="143">
        <v>10.031372549019608</v>
      </c>
    </row>
    <row r="13" spans="2:36" ht="24" customHeight="1" thickBot="1">
      <c r="B13" s="65" t="s">
        <v>73</v>
      </c>
      <c r="C13" s="144">
        <v>87.522727272727266</v>
      </c>
      <c r="D13" s="145">
        <v>18.412621359223301</v>
      </c>
      <c r="E13" s="145">
        <v>5.3221757322175725</v>
      </c>
      <c r="F13" s="145">
        <v>9.1434482758620703</v>
      </c>
      <c r="G13" s="146">
        <v>8.5783289817232369</v>
      </c>
    </row>
    <row r="14" spans="2:36" ht="24" customHeight="1" thickBot="1"/>
    <row r="15" spans="2:36" ht="24" customHeight="1" thickBot="1">
      <c r="B15" s="51"/>
      <c r="C15" s="50">
        <v>2021</v>
      </c>
      <c r="D15" s="50">
        <v>2022</v>
      </c>
      <c r="E15" s="50">
        <v>2023</v>
      </c>
      <c r="F15" s="50">
        <v>2024</v>
      </c>
      <c r="G15" s="49">
        <v>2025</v>
      </c>
      <c r="J15" s="228" t="s">
        <v>59</v>
      </c>
      <c r="K15" s="229"/>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5</v>
      </c>
      <c r="D16" s="84">
        <v>3</v>
      </c>
      <c r="E16" s="84">
        <v>4</v>
      </c>
      <c r="F16" s="84">
        <v>3</v>
      </c>
      <c r="G16" s="85">
        <v>1</v>
      </c>
      <c r="J16" s="48" t="s">
        <v>81</v>
      </c>
      <c r="K16" s="193" t="s">
        <v>113</v>
      </c>
      <c r="L16" s="42">
        <v>0</v>
      </c>
      <c r="M16" s="147">
        <v>-0.33043478260869563</v>
      </c>
      <c r="N16" s="147">
        <v>-0.28160535117056851</v>
      </c>
      <c r="O16" s="147">
        <v>-0.44013377926421404</v>
      </c>
      <c r="P16" s="147">
        <v>-0.43678929765886287</v>
      </c>
      <c r="Q16" s="147">
        <v>-0.47892976588628766</v>
      </c>
      <c r="R16" s="147">
        <v>-0.5565217391304349</v>
      </c>
      <c r="S16" s="147">
        <v>-0.46220735785953193</v>
      </c>
      <c r="T16" s="147">
        <v>-0.46755852842809376</v>
      </c>
      <c r="U16" s="147">
        <v>-0.56655518394648841</v>
      </c>
      <c r="V16" s="147">
        <v>-0.46488294314381284</v>
      </c>
      <c r="W16" s="147">
        <v>-0.44481605351170572</v>
      </c>
      <c r="X16" s="147">
        <v>-0.5130434782608696</v>
      </c>
      <c r="Y16" s="147">
        <v>-0.52240802675585285</v>
      </c>
      <c r="Z16" s="147">
        <v>-0.54314381270903012</v>
      </c>
      <c r="AA16" s="147">
        <v>-0.40735785953177261</v>
      </c>
      <c r="AB16" s="147">
        <v>-0.48026755852842806</v>
      </c>
      <c r="AC16" s="147">
        <v>-0.6040133779264214</v>
      </c>
      <c r="AD16" s="147">
        <v>-0.69230769230769229</v>
      </c>
      <c r="AE16" s="147">
        <v>-0.74849498327759201</v>
      </c>
      <c r="AF16" s="147">
        <v>-0.70434782608695645</v>
      </c>
      <c r="AG16" s="147">
        <v>-0.62876254180602009</v>
      </c>
      <c r="AH16" s="147">
        <v>-0.64481605351170568</v>
      </c>
      <c r="AI16" s="147">
        <v>-0.56655518394648818</v>
      </c>
      <c r="AJ16" s="152">
        <v>-0.50367892976588624</v>
      </c>
    </row>
    <row r="17" spans="2:36" ht="24" customHeight="1">
      <c r="B17" s="47" t="s">
        <v>70</v>
      </c>
      <c r="C17" s="84">
        <v>2</v>
      </c>
      <c r="D17" s="84">
        <v>4</v>
      </c>
      <c r="E17" s="84">
        <v>1</v>
      </c>
      <c r="F17" s="84">
        <v>1</v>
      </c>
      <c r="G17" s="85">
        <v>2</v>
      </c>
      <c r="J17" s="43" t="s">
        <v>81</v>
      </c>
      <c r="K17" s="194" t="s">
        <v>98</v>
      </c>
      <c r="L17" s="45">
        <v>0</v>
      </c>
      <c r="M17" s="147">
        <v>-6.3548102383053862E-2</v>
      </c>
      <c r="N17" s="147">
        <v>-5.1191526919682206E-2</v>
      </c>
      <c r="O17" s="147">
        <v>-0.17299205648720217</v>
      </c>
      <c r="P17" s="147">
        <v>0.27802294792586069</v>
      </c>
      <c r="Q17" s="147">
        <v>0.13857016769638153</v>
      </c>
      <c r="R17" s="147">
        <v>-0.14386584289496906</v>
      </c>
      <c r="S17" s="147">
        <v>0.15710503089143879</v>
      </c>
      <c r="T17" s="147">
        <v>0.15092674315975296</v>
      </c>
      <c r="U17" s="147">
        <v>-9.3556928508384707E-2</v>
      </c>
      <c r="V17" s="147">
        <v>0.1103265666372466</v>
      </c>
      <c r="W17" s="147">
        <v>3.7952338923213036E-2</v>
      </c>
      <c r="X17" s="147">
        <v>-0.13150926743159719</v>
      </c>
      <c r="Y17" s="147">
        <v>-0.1624007060900261</v>
      </c>
      <c r="Z17" s="147">
        <v>-0.27360988526037033</v>
      </c>
      <c r="AA17" s="147">
        <v>-0.14651368049426261</v>
      </c>
      <c r="AB17" s="147">
        <v>-0.17917034421888745</v>
      </c>
      <c r="AC17" s="147">
        <v>-0.44571932921447455</v>
      </c>
      <c r="AD17" s="147">
        <v>-0.57281553398058227</v>
      </c>
      <c r="AE17" s="147">
        <v>-0.70079435127978806</v>
      </c>
      <c r="AF17" s="147">
        <v>-0.6548984995586935</v>
      </c>
      <c r="AG17" s="147">
        <v>-0.51809355692850811</v>
      </c>
      <c r="AH17" s="147">
        <v>-0.57016769638128828</v>
      </c>
      <c r="AI17" s="147">
        <v>-0.38746690203000833</v>
      </c>
      <c r="AJ17" s="152">
        <v>-0.28420123565754574</v>
      </c>
    </row>
    <row r="18" spans="2:36" ht="24" customHeight="1">
      <c r="B18" s="47" t="s">
        <v>71</v>
      </c>
      <c r="C18" s="86">
        <v>8</v>
      </c>
      <c r="D18" s="86">
        <v>8</v>
      </c>
      <c r="E18" s="86">
        <v>8</v>
      </c>
      <c r="F18" s="86">
        <v>2</v>
      </c>
      <c r="G18" s="87">
        <v>7</v>
      </c>
      <c r="J18" s="44" t="s">
        <v>82</v>
      </c>
      <c r="K18" s="195" t="s">
        <v>113</v>
      </c>
      <c r="L18" s="46">
        <v>0</v>
      </c>
      <c r="M18" s="147">
        <v>-1.9230769230769273E-2</v>
      </c>
      <c r="N18" s="147">
        <v>-6.1813186813186816E-2</v>
      </c>
      <c r="O18" s="147">
        <v>0.21703296703296693</v>
      </c>
      <c r="P18" s="147">
        <v>6.7307692307692291E-2</v>
      </c>
      <c r="Q18" s="147">
        <v>-0.1868131868131867</v>
      </c>
      <c r="R18" s="147">
        <v>-0.36813186813186805</v>
      </c>
      <c r="S18" s="147">
        <v>-0.48351648351648346</v>
      </c>
      <c r="T18" s="147">
        <v>-0.39285714285714279</v>
      </c>
      <c r="U18" s="147">
        <v>-0.23763736263736257</v>
      </c>
      <c r="V18" s="147">
        <v>-0.27060439560439553</v>
      </c>
      <c r="W18" s="147">
        <v>-0.10989010989010972</v>
      </c>
      <c r="X18" s="147">
        <v>1.9230769230769384E-2</v>
      </c>
      <c r="Y18" s="147">
        <v>-0.21978021978021967</v>
      </c>
      <c r="Z18" s="147">
        <v>-0.23214285714285698</v>
      </c>
      <c r="AA18" s="147">
        <v>-0.16346153846153832</v>
      </c>
      <c r="AB18" s="147">
        <v>-0.11950549450549419</v>
      </c>
      <c r="AC18" s="147">
        <v>-0.30219780219780201</v>
      </c>
      <c r="AD18" s="147">
        <v>-9.8901098901098661E-2</v>
      </c>
      <c r="AE18" s="147">
        <v>-0.21703296703296671</v>
      </c>
      <c r="AF18" s="147">
        <v>-0.17994505494505464</v>
      </c>
      <c r="AG18" s="147">
        <v>7.9670329670330275E-2</v>
      </c>
      <c r="AH18" s="147">
        <v>-9.6153846153845701E-2</v>
      </c>
      <c r="AI18" s="147">
        <v>-0.10439560439560402</v>
      </c>
      <c r="AJ18" s="152">
        <v>-0.3379120879120876</v>
      </c>
    </row>
    <row r="19" spans="2:36" ht="24" customHeight="1">
      <c r="B19" s="47" t="s">
        <v>72</v>
      </c>
      <c r="C19" s="86">
        <v>3</v>
      </c>
      <c r="D19" s="86">
        <v>1</v>
      </c>
      <c r="E19" s="86">
        <v>3</v>
      </c>
      <c r="F19" s="86">
        <v>8</v>
      </c>
      <c r="G19" s="87">
        <v>8</v>
      </c>
      <c r="J19" s="43" t="s">
        <v>82</v>
      </c>
      <c r="K19" s="194" t="s">
        <v>98</v>
      </c>
      <c r="L19" s="45">
        <v>0</v>
      </c>
      <c r="M19" s="147">
        <v>-3.5569105691056868E-2</v>
      </c>
      <c r="N19" s="147">
        <v>-0.16361788617886164</v>
      </c>
      <c r="O19" s="147">
        <v>-1.7276422764227584E-2</v>
      </c>
      <c r="P19" s="147">
        <v>-5.4878048780487743E-2</v>
      </c>
      <c r="Q19" s="147">
        <v>-0.36178861788617878</v>
      </c>
      <c r="R19" s="147">
        <v>-0.50813008130081294</v>
      </c>
      <c r="S19" s="147">
        <v>-0.65548780487804881</v>
      </c>
      <c r="T19" s="147">
        <v>-0.60264227642276413</v>
      </c>
      <c r="U19" s="147">
        <v>-0.44512195121951215</v>
      </c>
      <c r="V19" s="147">
        <v>-0.50508130081300806</v>
      </c>
      <c r="W19" s="147">
        <v>-0.2947154471544714</v>
      </c>
      <c r="X19" s="147">
        <v>-0.17581300813008116</v>
      </c>
      <c r="Y19" s="147">
        <v>-0.38617886178861771</v>
      </c>
      <c r="Z19" s="147">
        <v>-0.44410569105691045</v>
      </c>
      <c r="AA19" s="147">
        <v>-0.4989837398373983</v>
      </c>
      <c r="AB19" s="147">
        <v>-0.59949186991869907</v>
      </c>
      <c r="AC19" s="147">
        <v>-0.63109756097560976</v>
      </c>
      <c r="AD19" s="147">
        <v>-0.45630081300813008</v>
      </c>
      <c r="AE19" s="147">
        <v>-0.38211382113821135</v>
      </c>
      <c r="AF19" s="147">
        <v>-0.40752032520325199</v>
      </c>
      <c r="AG19" s="147">
        <v>-0.27743902439024382</v>
      </c>
      <c r="AH19" s="147">
        <v>-0.14329268292682917</v>
      </c>
      <c r="AI19" s="147">
        <v>-0.26829268292682917</v>
      </c>
      <c r="AJ19" s="152">
        <v>-0.55894308943089421</v>
      </c>
    </row>
    <row r="20" spans="2:36" ht="24" customHeight="1">
      <c r="B20" s="63" t="s">
        <v>75</v>
      </c>
      <c r="C20" s="88">
        <v>7</v>
      </c>
      <c r="D20" s="89">
        <v>7</v>
      </c>
      <c r="E20" s="89">
        <v>7</v>
      </c>
      <c r="F20" s="89">
        <v>7</v>
      </c>
      <c r="G20" s="90">
        <v>6</v>
      </c>
      <c r="J20" s="44" t="s">
        <v>83</v>
      </c>
      <c r="K20" s="195" t="s">
        <v>113</v>
      </c>
      <c r="L20" s="46">
        <v>0</v>
      </c>
      <c r="M20" s="147">
        <v>-0.23450134770889486</v>
      </c>
      <c r="N20" s="147">
        <v>-0.24663072776280315</v>
      </c>
      <c r="O20" s="147">
        <v>-0.17924528301886788</v>
      </c>
      <c r="P20" s="147">
        <v>-0.1361185983827492</v>
      </c>
      <c r="Q20" s="147">
        <v>-0.3153638814016172</v>
      </c>
      <c r="R20" s="147">
        <v>-0.11590296495956875</v>
      </c>
      <c r="S20" s="147">
        <v>-0.2318059299191374</v>
      </c>
      <c r="T20" s="147">
        <v>-0.19541778975741242</v>
      </c>
      <c r="U20" s="147">
        <v>5.9299191374663218E-2</v>
      </c>
      <c r="V20" s="147">
        <v>-0.11320754716981118</v>
      </c>
      <c r="W20" s="147">
        <v>-0.12129380053908345</v>
      </c>
      <c r="X20" s="147">
        <v>-0.3504043126684635</v>
      </c>
      <c r="Y20" s="147">
        <v>-0.41239892183288396</v>
      </c>
      <c r="Z20" s="147">
        <v>-0.31940700808625333</v>
      </c>
      <c r="AA20" s="147">
        <v>-0.42991913746630717</v>
      </c>
      <c r="AB20" s="147">
        <v>-0.40161725067385434</v>
      </c>
      <c r="AC20" s="147">
        <v>-0.27897574123989222</v>
      </c>
      <c r="AD20" s="147">
        <v>-0.33692722371967654</v>
      </c>
      <c r="AE20" s="147">
        <v>-0.4339622641509433</v>
      </c>
      <c r="AF20" s="147">
        <v>-0.38409703504043113</v>
      </c>
      <c r="AG20" s="147">
        <v>-0.38679245283018859</v>
      </c>
      <c r="AH20" s="147">
        <v>-0.34366576819407002</v>
      </c>
      <c r="AI20" s="147">
        <v>-0.25336927223719674</v>
      </c>
      <c r="AJ20" s="152">
        <v>-0.4043126684636118</v>
      </c>
    </row>
    <row r="21" spans="2:36" ht="24" customHeight="1">
      <c r="B21" s="47" t="s">
        <v>76</v>
      </c>
      <c r="C21" s="91">
        <v>4</v>
      </c>
      <c r="D21" s="91">
        <v>2</v>
      </c>
      <c r="E21" s="84">
        <v>2</v>
      </c>
      <c r="F21" s="84">
        <v>4</v>
      </c>
      <c r="G21" s="85">
        <v>3</v>
      </c>
      <c r="J21" s="43" t="s">
        <v>83</v>
      </c>
      <c r="K21" s="194" t="s">
        <v>98</v>
      </c>
      <c r="L21" s="45">
        <v>0</v>
      </c>
      <c r="M21" s="147">
        <v>-0.25524044389642409</v>
      </c>
      <c r="N21" s="147">
        <v>-0.32552404438964244</v>
      </c>
      <c r="O21" s="147">
        <v>-0.39210850801479658</v>
      </c>
      <c r="P21" s="147">
        <v>-0.51405672009864367</v>
      </c>
      <c r="Q21" s="147">
        <v>-0.55240443896424174</v>
      </c>
      <c r="R21" s="147">
        <v>-0.34032059186189889</v>
      </c>
      <c r="S21" s="147">
        <v>-0.25030826140567197</v>
      </c>
      <c r="T21" s="147">
        <v>-0.28113440197287287</v>
      </c>
      <c r="U21" s="147">
        <v>-0.12330456226880371</v>
      </c>
      <c r="V21" s="147">
        <v>3.9457459926017568E-2</v>
      </c>
      <c r="W21" s="147">
        <v>-0.11220715166461126</v>
      </c>
      <c r="X21" s="147">
        <v>-0.46485819975339071</v>
      </c>
      <c r="Y21" s="147">
        <v>-0.6325524044389641</v>
      </c>
      <c r="Z21" s="147">
        <v>-0.50431565967940795</v>
      </c>
      <c r="AA21" s="147">
        <v>-0.55610357583230563</v>
      </c>
      <c r="AB21" s="147">
        <v>-0.45992601726263849</v>
      </c>
      <c r="AC21" s="147">
        <v>-0.39580764488286035</v>
      </c>
      <c r="AD21" s="147">
        <v>-0.45561035758323032</v>
      </c>
      <c r="AE21" s="147">
        <v>-0.52404438964241651</v>
      </c>
      <c r="AF21" s="147">
        <v>-0.43773119605425381</v>
      </c>
      <c r="AG21" s="147">
        <v>-0.41923551171393314</v>
      </c>
      <c r="AH21" s="147">
        <v>-0.42786683107274948</v>
      </c>
      <c r="AI21" s="147">
        <v>-0.45252774352651015</v>
      </c>
      <c r="AJ21" s="152">
        <v>-0.56473489519112186</v>
      </c>
    </row>
    <row r="22" spans="2:36" ht="24" customHeight="1">
      <c r="B22" s="64" t="s">
        <v>74</v>
      </c>
      <c r="C22" s="92">
        <v>6</v>
      </c>
      <c r="D22" s="92">
        <v>5</v>
      </c>
      <c r="E22" s="92">
        <v>6</v>
      </c>
      <c r="F22" s="92">
        <v>5</v>
      </c>
      <c r="G22" s="93">
        <v>4</v>
      </c>
      <c r="J22" s="44" t="s">
        <v>84</v>
      </c>
      <c r="K22" s="193" t="s">
        <v>113</v>
      </c>
      <c r="L22" s="42">
        <v>0</v>
      </c>
      <c r="M22" s="147">
        <v>-9.5435684647302899E-2</v>
      </c>
      <c r="N22" s="147">
        <v>4.7717842323651283E-2</v>
      </c>
      <c r="O22" s="147">
        <v>-0.12240663900414939</v>
      </c>
      <c r="P22" s="147">
        <v>-7.8838174273858974E-2</v>
      </c>
      <c r="Q22" s="147">
        <v>0.10995850622406622</v>
      </c>
      <c r="R22" s="147">
        <v>2.0746887966804906E-2</v>
      </c>
      <c r="S22" s="147">
        <v>-0.12863070539419086</v>
      </c>
      <c r="T22" s="147">
        <v>-5.1867219917012375E-2</v>
      </c>
      <c r="U22" s="147">
        <v>-5.6016597510373467E-2</v>
      </c>
      <c r="V22" s="147">
        <v>1.0373443983402453E-2</v>
      </c>
      <c r="W22" s="147">
        <v>0.14937759336099576</v>
      </c>
      <c r="X22" s="147">
        <v>-8.2987551867219955E-2</v>
      </c>
      <c r="Y22" s="147">
        <v>-3.319502074688796E-2</v>
      </c>
      <c r="Z22" s="147">
        <v>0.13278008298755184</v>
      </c>
      <c r="AJ22" s="41"/>
    </row>
    <row r="23" spans="2:36" ht="24" customHeight="1" thickBot="1">
      <c r="B23" s="65" t="s">
        <v>73</v>
      </c>
      <c r="C23" s="94">
        <v>1</v>
      </c>
      <c r="D23" s="94">
        <v>6</v>
      </c>
      <c r="E23" s="94">
        <v>5</v>
      </c>
      <c r="F23" s="94">
        <v>6</v>
      </c>
      <c r="G23" s="95">
        <v>5</v>
      </c>
      <c r="J23" s="43" t="s">
        <v>84</v>
      </c>
      <c r="K23" s="193" t="s">
        <v>101</v>
      </c>
      <c r="L23" s="42">
        <v>0</v>
      </c>
      <c r="M23" s="147">
        <v>-9.1384317521781222E-2</v>
      </c>
      <c r="N23" s="147">
        <v>7.6089060987415413E-2</v>
      </c>
      <c r="O23" s="147">
        <v>6.3891577928364196E-2</v>
      </c>
      <c r="P23" s="147">
        <v>-1.9361084220703706E-4</v>
      </c>
      <c r="Q23" s="147">
        <v>0.21316553727008714</v>
      </c>
      <c r="R23" s="147">
        <v>0.17657308809293326</v>
      </c>
      <c r="S23" s="147">
        <v>0.20387221684414314</v>
      </c>
      <c r="T23" s="147">
        <v>0.4714424007744431</v>
      </c>
      <c r="U23" s="147">
        <v>0.65091965150048381</v>
      </c>
      <c r="V23" s="147">
        <v>0.71597289448209067</v>
      </c>
      <c r="W23" s="147">
        <v>0.97773475314617597</v>
      </c>
      <c r="X23" s="147">
        <v>0.56902226524685373</v>
      </c>
      <c r="Y23" s="147">
        <v>0.46447241045498533</v>
      </c>
      <c r="Z23" s="147">
        <v>0.77366892545982546</v>
      </c>
      <c r="AA23" s="153"/>
      <c r="AB23" s="153"/>
      <c r="AC23" s="153"/>
      <c r="AD23" s="153"/>
      <c r="AE23" s="153"/>
      <c r="AF23" s="153"/>
      <c r="AG23" s="153"/>
      <c r="AH23" s="153"/>
      <c r="AI23" s="153"/>
      <c r="AJ23" s="154"/>
    </row>
    <row r="24" spans="2:36" ht="24" customHeight="1" thickBot="1">
      <c r="J24" s="216" t="s">
        <v>58</v>
      </c>
      <c r="K24" s="217"/>
      <c r="L24" s="40">
        <v>0</v>
      </c>
      <c r="M24" s="39">
        <f>AVERAGE(M16:M23)</f>
        <v>-0.14066806921099734</v>
      </c>
      <c r="N24" s="39">
        <f t="shared" ref="N24:AJ24" si="1">AVERAGE(N16:N23)</f>
        <v>-0.12582197749045976</v>
      </c>
      <c r="O24" s="39">
        <f t="shared" si="1"/>
        <v>-0.13040476794901582</v>
      </c>
      <c r="P24" s="39">
        <f t="shared" si="1"/>
        <v>-0.10944297622540707</v>
      </c>
      <c r="Q24" s="39">
        <f t="shared" si="1"/>
        <v>-0.17920070997012216</v>
      </c>
      <c r="R24" s="39">
        <f t="shared" si="1"/>
        <v>-0.22944413902747679</v>
      </c>
      <c r="S24" s="39">
        <f t="shared" si="1"/>
        <v>-0.23137241190468527</v>
      </c>
      <c r="T24" s="39">
        <f t="shared" si="1"/>
        <v>-0.17113852692763776</v>
      </c>
      <c r="U24" s="39">
        <f t="shared" si="1"/>
        <v>-0.10149671790197226</v>
      </c>
      <c r="V24" s="39">
        <f t="shared" si="1"/>
        <v>-5.9705727712783818E-2</v>
      </c>
      <c r="W24" s="39">
        <f t="shared" si="1"/>
        <v>1.0267765333800416E-2</v>
      </c>
      <c r="X24" s="39">
        <f t="shared" si="1"/>
        <v>-0.14129534795424986</v>
      </c>
      <c r="Y24" s="39">
        <f t="shared" si="1"/>
        <v>-0.23805521887230835</v>
      </c>
      <c r="Z24" s="39">
        <f t="shared" si="1"/>
        <v>-0.17628448818593151</v>
      </c>
      <c r="AA24" s="39">
        <f t="shared" si="1"/>
        <v>-0.36705658860393076</v>
      </c>
      <c r="AB24" s="39">
        <f t="shared" si="1"/>
        <v>-0.37332975585133354</v>
      </c>
      <c r="AC24" s="39">
        <f t="shared" si="1"/>
        <v>-0.4429685760728434</v>
      </c>
      <c r="AD24" s="39">
        <f t="shared" si="1"/>
        <v>-0.43547711991673504</v>
      </c>
      <c r="AE24" s="39">
        <f t="shared" si="1"/>
        <v>-0.50107379608698632</v>
      </c>
      <c r="AF24" s="39">
        <f t="shared" si="1"/>
        <v>-0.46142332281477366</v>
      </c>
      <c r="AG24" s="39">
        <f t="shared" si="1"/>
        <v>-0.35844212633309391</v>
      </c>
      <c r="AH24" s="39">
        <f t="shared" si="1"/>
        <v>-0.37099381304008139</v>
      </c>
      <c r="AI24" s="39">
        <f t="shared" si="1"/>
        <v>-0.33876789817710612</v>
      </c>
      <c r="AJ24" s="38">
        <f t="shared" si="1"/>
        <v>-0.44229715107019124</v>
      </c>
    </row>
    <row r="25" spans="2:36" ht="30" customHeigh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1.05" hidden="1"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1.05" hidden="1" customHeight="1">
      <c r="J27" s="206" t="s">
        <v>91</v>
      </c>
      <c r="K27" s="207"/>
      <c r="L27" s="158">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52">
        <v>0.15979569178065556</v>
      </c>
    </row>
    <row r="28" spans="2:36" ht="1.05" hidden="1"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0.38842044041457102</v>
      </c>
      <c r="AF28" s="147">
        <v>0.46797880909447076</v>
      </c>
      <c r="AG28" s="147">
        <v>0.43129381818358792</v>
      </c>
      <c r="AH28" s="147">
        <v>0.46996211042729796</v>
      </c>
      <c r="AI28" s="147">
        <v>0.44902672224777396</v>
      </c>
      <c r="AJ28" s="152">
        <v>0.36564289381915693</v>
      </c>
    </row>
    <row r="29" spans="2:36" ht="1.05" hidden="1"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52">
        <v>0.24249812060483178</v>
      </c>
    </row>
    <row r="30" spans="2:36" ht="1.05" hidden="1"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1.05" hidden="1"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0.20531230398190789</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8" spans="10:36" ht="35.25" hidden="1" thickBot="1">
      <c r="J68" s="214" t="s">
        <v>131</v>
      </c>
      <c r="K68" s="21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hidden="1">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hidden="1">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hidden="1">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7.25" hidden="1"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7.25" hidden="1"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J24:K24"/>
    <mergeCell ref="F1:H1"/>
    <mergeCell ref="B2:D3"/>
    <mergeCell ref="J2:K2"/>
    <mergeCell ref="J11:K11"/>
    <mergeCell ref="J15:K15"/>
    <mergeCell ref="J73:K73"/>
    <mergeCell ref="J26:K26"/>
    <mergeCell ref="J27:K27"/>
    <mergeCell ref="J28:K28"/>
    <mergeCell ref="J29:K29"/>
    <mergeCell ref="J30:K30"/>
    <mergeCell ref="J31:K31"/>
    <mergeCell ref="J68:K68"/>
    <mergeCell ref="J69:K69"/>
    <mergeCell ref="J70:K70"/>
    <mergeCell ref="J71:K71"/>
    <mergeCell ref="J72:K72"/>
  </mergeCells>
  <phoneticPr fontId="13" type="noConversion"/>
  <conditionalFormatting sqref="C16:G23">
    <cfRule type="cellIs" dxfId="75" priority="6" operator="between">
      <formula>7</formula>
      <formula>8</formula>
    </cfRule>
    <cfRule type="cellIs" dxfId="74" priority="7" operator="between">
      <formula>1</formula>
      <formula>2</formula>
    </cfRule>
  </conditionalFormatting>
  <conditionalFormatting sqref="F3">
    <cfRule type="cellIs" dxfId="73" priority="2" operator="equal">
      <formula>"GOOD"</formula>
    </cfRule>
    <cfRule type="cellIs" dxfId="72" priority="4" operator="equal">
      <formula>"GOOD"</formula>
    </cfRule>
    <cfRule type="top10" dxfId="71" priority="5" percent="1" rank="10"/>
  </conditionalFormatting>
  <conditionalFormatting sqref="G3">
    <cfRule type="cellIs" dxfId="70" priority="1" operator="equal">
      <formula>"BAD"</formula>
    </cfRule>
    <cfRule type="cellIs" dxfId="69" priority="3" operator="equal">
      <formula>"BAD"</formula>
    </cfRule>
  </conditionalFormatting>
  <pageMargins left="0.7" right="0.7" top="0.75" bottom="0.75" header="0.3" footer="0.3"/>
  <pageSetup paperSize="9" orientation="portrait" horizontalDpi="360" verticalDpi="36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72E81-2AC0-304D-9C4F-A0459A9D355E}">
  <dimension ref="B1:AJ73"/>
  <sheetViews>
    <sheetView topLeftCell="A2" zoomScale="66" zoomScaleNormal="55" workbookViewId="0">
      <selection activeCell="B15" sqref="B15:G2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18"/>
      <c r="G1" s="219"/>
      <c r="H1" s="219"/>
    </row>
    <row r="2" spans="2:36" ht="24" customHeight="1" thickBot="1">
      <c r="B2" s="220" t="s">
        <v>120</v>
      </c>
      <c r="C2" s="221"/>
      <c r="D2" s="222"/>
      <c r="J2" s="226" t="s">
        <v>60</v>
      </c>
      <c r="K2" s="227"/>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23"/>
      <c r="C3" s="224"/>
      <c r="D3" s="225"/>
      <c r="F3" s="188" t="s">
        <v>130</v>
      </c>
      <c r="G3" s="189" t="s">
        <v>129</v>
      </c>
      <c r="J3" s="48" t="s">
        <v>81</v>
      </c>
      <c r="K3" s="66"/>
      <c r="L3" s="42">
        <v>0</v>
      </c>
      <c r="M3" s="147"/>
      <c r="N3" s="147"/>
      <c r="O3" s="147"/>
      <c r="P3" s="147"/>
      <c r="Q3" s="147"/>
      <c r="R3" s="147"/>
      <c r="S3" s="147"/>
      <c r="T3" s="147"/>
      <c r="U3" s="147"/>
      <c r="V3" s="147"/>
      <c r="W3" s="147"/>
      <c r="X3" s="147"/>
      <c r="Y3" s="147"/>
      <c r="Z3" s="147"/>
      <c r="AA3" s="147"/>
      <c r="AB3" s="147"/>
      <c r="AC3" s="147"/>
      <c r="AD3" s="147"/>
      <c r="AE3" s="147"/>
      <c r="AF3" s="147"/>
      <c r="AG3" s="147"/>
      <c r="AH3" s="147"/>
      <c r="AI3" s="147"/>
      <c r="AJ3" s="147"/>
    </row>
    <row r="4" spans="2:36" ht="24" customHeight="1" thickBot="1">
      <c r="J4" s="43" t="s">
        <v>81</v>
      </c>
      <c r="K4" s="67"/>
      <c r="L4" s="45">
        <v>0</v>
      </c>
      <c r="M4" s="147"/>
      <c r="N4" s="147"/>
      <c r="O4" s="147"/>
      <c r="P4" s="147"/>
      <c r="Q4" s="147"/>
      <c r="R4" s="147"/>
      <c r="S4" s="147"/>
      <c r="T4" s="147"/>
      <c r="U4" s="147"/>
      <c r="V4" s="147"/>
      <c r="W4" s="147"/>
      <c r="X4" s="147"/>
      <c r="Y4" s="147"/>
      <c r="Z4" s="147"/>
      <c r="AA4" s="147"/>
      <c r="AB4" s="147"/>
      <c r="AC4" s="147"/>
      <c r="AD4" s="147"/>
      <c r="AE4" s="147"/>
      <c r="AF4" s="147"/>
      <c r="AG4" s="147"/>
      <c r="AH4" s="147"/>
      <c r="AI4" s="147"/>
      <c r="AJ4" s="147"/>
    </row>
    <row r="5" spans="2:36" ht="24" customHeight="1">
      <c r="B5" s="51"/>
      <c r="C5" s="50">
        <v>2021</v>
      </c>
      <c r="D5" s="50">
        <v>2022</v>
      </c>
      <c r="E5" s="50">
        <v>2023</v>
      </c>
      <c r="F5" s="50">
        <v>2024</v>
      </c>
      <c r="G5" s="49">
        <v>2025</v>
      </c>
      <c r="J5" s="44" t="s">
        <v>82</v>
      </c>
      <c r="K5" s="68"/>
      <c r="L5" s="46">
        <v>0</v>
      </c>
      <c r="M5" s="147"/>
      <c r="N5" s="147"/>
      <c r="O5" s="147"/>
      <c r="P5" s="147"/>
      <c r="Q5" s="147"/>
      <c r="R5" s="147"/>
      <c r="S5" s="147"/>
      <c r="T5" s="147"/>
      <c r="U5" s="147"/>
      <c r="V5" s="147"/>
      <c r="W5" s="147"/>
      <c r="X5" s="147"/>
      <c r="Y5" s="147"/>
      <c r="Z5" s="147"/>
      <c r="AA5" s="147"/>
      <c r="AB5" s="147"/>
      <c r="AC5" s="147"/>
      <c r="AD5" s="147"/>
      <c r="AE5" s="147"/>
      <c r="AF5" s="147"/>
      <c r="AG5" s="147"/>
      <c r="AH5" s="147"/>
      <c r="AI5" s="147"/>
      <c r="AJ5" s="147"/>
    </row>
    <row r="6" spans="2:36" ht="24" customHeight="1">
      <c r="B6" s="47" t="s">
        <v>69</v>
      </c>
      <c r="C6" s="170">
        <v>0</v>
      </c>
      <c r="D6" s="171">
        <v>0</v>
      </c>
      <c r="E6" s="171">
        <v>0</v>
      </c>
      <c r="F6" s="171">
        <v>0</v>
      </c>
      <c r="G6" s="172">
        <v>0</v>
      </c>
      <c r="H6" s="1"/>
      <c r="J6" s="43" t="s">
        <v>82</v>
      </c>
      <c r="K6" s="67"/>
      <c r="L6" s="45">
        <v>0</v>
      </c>
      <c r="M6" s="147"/>
      <c r="N6" s="147"/>
      <c r="O6" s="147"/>
      <c r="P6" s="147"/>
      <c r="Q6" s="147"/>
      <c r="R6" s="147"/>
      <c r="S6" s="147"/>
      <c r="T6" s="147"/>
      <c r="U6" s="147"/>
      <c r="V6" s="147"/>
      <c r="W6" s="147"/>
      <c r="X6" s="147"/>
      <c r="Y6" s="147"/>
      <c r="Z6" s="147"/>
      <c r="AA6" s="147"/>
      <c r="AB6" s="147"/>
      <c r="AC6" s="147"/>
      <c r="AD6" s="147"/>
      <c r="AE6" s="147"/>
      <c r="AF6" s="147"/>
      <c r="AG6" s="147"/>
      <c r="AH6" s="147"/>
      <c r="AI6" s="147"/>
      <c r="AJ6" s="147"/>
    </row>
    <row r="7" spans="2:36" ht="24" customHeight="1">
      <c r="B7" s="47" t="s">
        <v>70</v>
      </c>
      <c r="C7" s="173">
        <v>0</v>
      </c>
      <c r="D7" s="174">
        <v>0.19850000000000001</v>
      </c>
      <c r="E7" s="174">
        <v>0.92200000000000004</v>
      </c>
      <c r="F7" s="174">
        <v>0.92400000000000004</v>
      </c>
      <c r="G7" s="175">
        <v>0.873</v>
      </c>
      <c r="H7" s="1"/>
      <c r="J7" s="44" t="s">
        <v>83</v>
      </c>
      <c r="K7" s="68"/>
      <c r="L7" s="46">
        <v>0</v>
      </c>
      <c r="M7" s="147"/>
      <c r="N7" s="147"/>
      <c r="O7" s="147"/>
      <c r="P7" s="147"/>
      <c r="Q7" s="147"/>
      <c r="R7" s="147"/>
      <c r="S7" s="147"/>
      <c r="T7" s="147"/>
      <c r="U7" s="147"/>
      <c r="V7" s="147"/>
      <c r="W7" s="147"/>
      <c r="X7" s="147"/>
      <c r="Y7" s="147"/>
      <c r="Z7" s="147"/>
      <c r="AA7" s="147"/>
      <c r="AB7" s="147"/>
      <c r="AC7" s="147"/>
      <c r="AD7" s="147"/>
      <c r="AE7" s="147"/>
      <c r="AF7" s="147"/>
      <c r="AG7" s="147"/>
      <c r="AH7" s="147"/>
      <c r="AI7" s="147"/>
      <c r="AJ7" s="147"/>
    </row>
    <row r="8" spans="2:36" ht="24" customHeight="1">
      <c r="B8" s="47" t="s">
        <v>71</v>
      </c>
      <c r="C8" s="173">
        <v>0</v>
      </c>
      <c r="D8" s="174">
        <v>0</v>
      </c>
      <c r="E8" s="174">
        <v>0</v>
      </c>
      <c r="F8" s="174">
        <v>0</v>
      </c>
      <c r="G8" s="175">
        <v>0</v>
      </c>
      <c r="J8" s="43" t="s">
        <v>83</v>
      </c>
      <c r="K8" s="67"/>
      <c r="L8" s="45">
        <v>0</v>
      </c>
      <c r="M8" s="147"/>
      <c r="N8" s="147"/>
      <c r="O8" s="147"/>
      <c r="P8" s="147"/>
      <c r="Q8" s="147"/>
      <c r="R8" s="147"/>
      <c r="S8" s="147"/>
      <c r="T8" s="147"/>
      <c r="U8" s="147"/>
      <c r="V8" s="147"/>
      <c r="W8" s="147"/>
      <c r="X8" s="147"/>
      <c r="Y8" s="147"/>
      <c r="Z8" s="147"/>
      <c r="AA8" s="147"/>
      <c r="AB8" s="147"/>
      <c r="AC8" s="147"/>
      <c r="AD8" s="147"/>
      <c r="AE8" s="147"/>
      <c r="AF8" s="147"/>
      <c r="AG8" s="147"/>
      <c r="AH8" s="147"/>
      <c r="AI8" s="147"/>
      <c r="AJ8" s="147"/>
    </row>
    <row r="9" spans="2:36" ht="24" customHeight="1">
      <c r="B9" s="47" t="s">
        <v>72</v>
      </c>
      <c r="C9" s="173">
        <v>0</v>
      </c>
      <c r="D9" s="174">
        <v>0</v>
      </c>
      <c r="E9" s="174">
        <v>0.188</v>
      </c>
      <c r="F9" s="174">
        <v>-8.8954781319495912E-2</v>
      </c>
      <c r="G9" s="175">
        <v>0</v>
      </c>
      <c r="J9" s="44" t="s">
        <v>84</v>
      </c>
      <c r="K9" s="66"/>
      <c r="L9" s="42">
        <v>0</v>
      </c>
      <c r="M9" s="147"/>
      <c r="N9" s="147"/>
      <c r="O9" s="147"/>
      <c r="P9" s="147"/>
      <c r="Q9" s="147"/>
      <c r="R9" s="147"/>
      <c r="S9" s="147"/>
      <c r="T9" s="147"/>
      <c r="U9" s="147"/>
      <c r="V9" s="147"/>
      <c r="W9" s="147"/>
      <c r="X9" s="147"/>
      <c r="Y9" s="147"/>
      <c r="Z9" s="147"/>
      <c r="AJ9" s="41"/>
    </row>
    <row r="10" spans="2:36" ht="24" customHeight="1" thickBot="1">
      <c r="B10" s="63" t="s">
        <v>75</v>
      </c>
      <c r="C10" s="173">
        <v>0</v>
      </c>
      <c r="D10" s="174">
        <v>0</v>
      </c>
      <c r="E10" s="174">
        <v>0</v>
      </c>
      <c r="F10" s="174">
        <v>0</v>
      </c>
      <c r="G10" s="175">
        <v>0</v>
      </c>
      <c r="J10" s="43" t="s">
        <v>84</v>
      </c>
      <c r="K10" s="66"/>
      <c r="L10" s="42">
        <v>0</v>
      </c>
      <c r="M10" s="147"/>
      <c r="N10" s="147"/>
      <c r="O10" s="147"/>
      <c r="P10" s="147"/>
      <c r="Q10" s="147"/>
      <c r="R10" s="147"/>
      <c r="S10" s="147"/>
      <c r="T10" s="147"/>
      <c r="U10" s="147"/>
      <c r="V10" s="147"/>
      <c r="W10" s="147"/>
      <c r="X10" s="147"/>
      <c r="Y10" s="147"/>
      <c r="Z10" s="147"/>
      <c r="AA10" s="153"/>
      <c r="AB10" s="153"/>
      <c r="AC10" s="153"/>
      <c r="AD10" s="153"/>
      <c r="AE10" s="153"/>
      <c r="AF10" s="153"/>
      <c r="AG10" s="153"/>
      <c r="AH10" s="153"/>
      <c r="AI10" s="153"/>
      <c r="AJ10" s="154"/>
    </row>
    <row r="11" spans="2:36" ht="24" customHeight="1" thickBot="1">
      <c r="B11" s="47" t="s">
        <v>76</v>
      </c>
      <c r="C11" s="173">
        <v>0</v>
      </c>
      <c r="D11" s="174">
        <v>0</v>
      </c>
      <c r="E11" s="174">
        <v>0</v>
      </c>
      <c r="F11" s="174">
        <v>0</v>
      </c>
      <c r="G11" s="175">
        <v>0</v>
      </c>
      <c r="J11" s="216" t="s">
        <v>58</v>
      </c>
      <c r="K11" s="217"/>
      <c r="L11" s="40">
        <v>0</v>
      </c>
      <c r="M11" s="39" t="e">
        <f t="shared" ref="M11:AJ11" si="0">AVERAGE(M3:M10)</f>
        <v>#DIV/0!</v>
      </c>
      <c r="N11" s="39" t="e">
        <f t="shared" si="0"/>
        <v>#DIV/0!</v>
      </c>
      <c r="O11" s="39" t="e">
        <f t="shared" si="0"/>
        <v>#DIV/0!</v>
      </c>
      <c r="P11" s="39" t="e">
        <f t="shared" si="0"/>
        <v>#DIV/0!</v>
      </c>
      <c r="Q11" s="39" t="e">
        <f t="shared" si="0"/>
        <v>#DIV/0!</v>
      </c>
      <c r="R11" s="39" t="e">
        <f t="shared" si="0"/>
        <v>#DIV/0!</v>
      </c>
      <c r="S11" s="39" t="e">
        <f t="shared" si="0"/>
        <v>#DIV/0!</v>
      </c>
      <c r="T11" s="39" t="e">
        <f t="shared" si="0"/>
        <v>#DIV/0!</v>
      </c>
      <c r="U11" s="39" t="e">
        <f t="shared" si="0"/>
        <v>#DIV/0!</v>
      </c>
      <c r="V11" s="39" t="e">
        <f t="shared" si="0"/>
        <v>#DIV/0!</v>
      </c>
      <c r="W11" s="39" t="e">
        <f t="shared" si="0"/>
        <v>#DIV/0!</v>
      </c>
      <c r="X11" s="39" t="e">
        <f t="shared" si="0"/>
        <v>#DIV/0!</v>
      </c>
      <c r="Y11" s="39" t="e">
        <f t="shared" si="0"/>
        <v>#DIV/0!</v>
      </c>
      <c r="Z11" s="39" t="e">
        <f t="shared" si="0"/>
        <v>#DIV/0!</v>
      </c>
      <c r="AA11" s="39" t="e">
        <f t="shared" si="0"/>
        <v>#DIV/0!</v>
      </c>
      <c r="AB11" s="39" t="e">
        <f t="shared" si="0"/>
        <v>#DIV/0!</v>
      </c>
      <c r="AC11" s="39" t="e">
        <f t="shared" si="0"/>
        <v>#DIV/0!</v>
      </c>
      <c r="AD11" s="39" t="e">
        <f t="shared" si="0"/>
        <v>#DIV/0!</v>
      </c>
      <c r="AE11" s="39" t="e">
        <f t="shared" si="0"/>
        <v>#DIV/0!</v>
      </c>
      <c r="AF11" s="39" t="e">
        <f t="shared" si="0"/>
        <v>#DIV/0!</v>
      </c>
      <c r="AG11" s="39" t="e">
        <f t="shared" si="0"/>
        <v>#DIV/0!</v>
      </c>
      <c r="AH11" s="39" t="e">
        <f t="shared" si="0"/>
        <v>#DIV/0!</v>
      </c>
      <c r="AI11" s="39" t="e">
        <f t="shared" si="0"/>
        <v>#DIV/0!</v>
      </c>
      <c r="AJ11" s="38" t="e">
        <f t="shared" si="0"/>
        <v>#DIV/0!</v>
      </c>
    </row>
    <row r="12" spans="2:36" ht="24" customHeight="1">
      <c r="B12" s="64" t="s">
        <v>74</v>
      </c>
      <c r="C12" s="173">
        <v>0</v>
      </c>
      <c r="D12" s="174">
        <v>0</v>
      </c>
      <c r="E12" s="174">
        <v>0</v>
      </c>
      <c r="F12" s="174">
        <v>0</v>
      </c>
      <c r="G12" s="175">
        <v>0</v>
      </c>
    </row>
    <row r="13" spans="2:36" ht="24" customHeight="1" thickBot="1">
      <c r="B13" s="65" t="s">
        <v>73</v>
      </c>
      <c r="C13" s="176">
        <v>0</v>
      </c>
      <c r="D13" s="177">
        <v>0</v>
      </c>
      <c r="E13" s="177">
        <v>2.7771750922108918E-2</v>
      </c>
      <c r="F13" s="177">
        <v>9.2855076656060173E-2</v>
      </c>
      <c r="G13" s="178">
        <v>8.7912087912087919E-2</v>
      </c>
    </row>
    <row r="14" spans="2:36" ht="24" customHeight="1" thickBot="1"/>
    <row r="15" spans="2:36" ht="24" customHeight="1" thickBot="1">
      <c r="B15" s="51"/>
      <c r="C15" s="50">
        <v>2021</v>
      </c>
      <c r="D15" s="50">
        <v>2022</v>
      </c>
      <c r="E15" s="50">
        <v>2023</v>
      </c>
      <c r="F15" s="50">
        <v>2024</v>
      </c>
      <c r="G15" s="49">
        <v>2025</v>
      </c>
      <c r="J15" s="228" t="s">
        <v>59</v>
      </c>
      <c r="K15" s="229"/>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1</v>
      </c>
      <c r="D16" s="84">
        <v>2</v>
      </c>
      <c r="E16" s="84">
        <v>4</v>
      </c>
      <c r="F16" s="84">
        <v>3</v>
      </c>
      <c r="G16" s="85">
        <v>3</v>
      </c>
      <c r="J16" s="48" t="s">
        <v>81</v>
      </c>
      <c r="K16" s="69"/>
      <c r="L16" s="42">
        <v>0</v>
      </c>
      <c r="M16" s="147"/>
      <c r="N16" s="147"/>
      <c r="O16" s="147"/>
      <c r="P16" s="147"/>
      <c r="Q16" s="147"/>
      <c r="R16" s="147"/>
      <c r="S16" s="147"/>
      <c r="T16" s="147"/>
      <c r="U16" s="147"/>
      <c r="V16" s="147"/>
      <c r="W16" s="147"/>
      <c r="X16" s="147"/>
      <c r="Y16" s="147"/>
      <c r="Z16" s="147"/>
      <c r="AA16" s="147"/>
      <c r="AB16" s="147"/>
      <c r="AC16" s="147"/>
      <c r="AD16" s="147"/>
      <c r="AE16" s="147"/>
      <c r="AF16" s="147"/>
      <c r="AG16" s="147"/>
      <c r="AH16" s="147"/>
      <c r="AI16" s="147"/>
      <c r="AJ16" s="147"/>
    </row>
    <row r="17" spans="2:36" ht="24" customHeight="1">
      <c r="B17" s="47" t="s">
        <v>70</v>
      </c>
      <c r="C17" s="84">
        <v>1</v>
      </c>
      <c r="D17" s="84">
        <v>1</v>
      </c>
      <c r="E17" s="84">
        <v>1</v>
      </c>
      <c r="F17" s="84">
        <v>1</v>
      </c>
      <c r="G17" s="85">
        <v>1</v>
      </c>
      <c r="J17" s="43" t="s">
        <v>81</v>
      </c>
      <c r="K17" s="70"/>
      <c r="L17" s="45">
        <v>0</v>
      </c>
      <c r="M17" s="147"/>
      <c r="N17" s="147"/>
      <c r="O17" s="147"/>
      <c r="P17" s="147"/>
      <c r="Q17" s="147"/>
      <c r="R17" s="147"/>
      <c r="S17" s="147"/>
      <c r="T17" s="147"/>
      <c r="U17" s="147"/>
      <c r="V17" s="147"/>
      <c r="W17" s="147"/>
      <c r="X17" s="147"/>
      <c r="Y17" s="147"/>
      <c r="Z17" s="147"/>
      <c r="AA17" s="147"/>
      <c r="AB17" s="147"/>
      <c r="AC17" s="147"/>
      <c r="AD17" s="147"/>
      <c r="AE17" s="147"/>
      <c r="AF17" s="147"/>
      <c r="AG17" s="147"/>
      <c r="AH17" s="147"/>
      <c r="AI17" s="147"/>
      <c r="AJ17" s="147"/>
    </row>
    <row r="18" spans="2:36" ht="24" customHeight="1">
      <c r="B18" s="47" t="s">
        <v>71</v>
      </c>
      <c r="C18" s="86">
        <v>1</v>
      </c>
      <c r="D18" s="86">
        <v>2</v>
      </c>
      <c r="E18" s="86">
        <v>4</v>
      </c>
      <c r="F18" s="86">
        <v>3</v>
      </c>
      <c r="G18" s="87">
        <v>3</v>
      </c>
      <c r="J18" s="44" t="s">
        <v>82</v>
      </c>
      <c r="K18" s="71"/>
      <c r="L18" s="46">
        <v>0</v>
      </c>
      <c r="M18" s="147"/>
      <c r="N18" s="147"/>
      <c r="O18" s="147"/>
      <c r="P18" s="147"/>
      <c r="Q18" s="147"/>
      <c r="R18" s="147"/>
      <c r="S18" s="147"/>
      <c r="T18" s="147"/>
      <c r="U18" s="147"/>
      <c r="V18" s="147"/>
      <c r="W18" s="147"/>
      <c r="X18" s="147"/>
      <c r="Y18" s="147"/>
      <c r="Z18" s="147"/>
      <c r="AA18" s="147"/>
      <c r="AB18" s="147"/>
      <c r="AC18" s="147"/>
      <c r="AD18" s="147"/>
      <c r="AE18" s="147"/>
      <c r="AF18" s="147"/>
      <c r="AG18" s="147"/>
      <c r="AH18" s="147"/>
      <c r="AI18" s="147"/>
      <c r="AJ18" s="147"/>
    </row>
    <row r="19" spans="2:36" ht="24" customHeight="1">
      <c r="B19" s="47" t="s">
        <v>72</v>
      </c>
      <c r="C19" s="86">
        <v>1</v>
      </c>
      <c r="D19" s="86">
        <v>2</v>
      </c>
      <c r="E19" s="86">
        <v>2</v>
      </c>
      <c r="F19" s="86">
        <v>8</v>
      </c>
      <c r="G19" s="87">
        <v>3</v>
      </c>
      <c r="J19" s="43" t="s">
        <v>82</v>
      </c>
      <c r="K19" s="70"/>
      <c r="L19" s="45">
        <v>0</v>
      </c>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row>
    <row r="20" spans="2:36" ht="24" customHeight="1">
      <c r="B20" s="63" t="s">
        <v>75</v>
      </c>
      <c r="C20" s="88">
        <v>1</v>
      </c>
      <c r="D20" s="89">
        <v>2</v>
      </c>
      <c r="E20" s="89">
        <v>4</v>
      </c>
      <c r="F20" s="89">
        <v>3</v>
      </c>
      <c r="G20" s="90">
        <v>3</v>
      </c>
      <c r="J20" s="44" t="s">
        <v>83</v>
      </c>
      <c r="K20" s="71"/>
      <c r="L20" s="46">
        <v>0</v>
      </c>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row>
    <row r="21" spans="2:36" ht="24" customHeight="1">
      <c r="B21" s="47" t="s">
        <v>76</v>
      </c>
      <c r="C21" s="91">
        <v>1</v>
      </c>
      <c r="D21" s="91">
        <v>2</v>
      </c>
      <c r="E21" s="84">
        <v>4</v>
      </c>
      <c r="F21" s="84">
        <v>3</v>
      </c>
      <c r="G21" s="85">
        <v>3</v>
      </c>
      <c r="J21" s="43" t="s">
        <v>83</v>
      </c>
      <c r="K21" s="70"/>
      <c r="L21" s="45">
        <v>0</v>
      </c>
      <c r="M21" s="147"/>
      <c r="N21" s="147"/>
      <c r="O21" s="147"/>
      <c r="P21" s="147"/>
      <c r="Q21" s="147"/>
      <c r="R21" s="147"/>
      <c r="S21" s="147"/>
      <c r="T21" s="147"/>
      <c r="U21" s="147"/>
      <c r="V21" s="147"/>
      <c r="W21" s="147"/>
      <c r="X21" s="147"/>
      <c r="Y21" s="147"/>
      <c r="Z21" s="147"/>
      <c r="AA21" s="147"/>
      <c r="AB21" s="147"/>
      <c r="AC21" s="147"/>
      <c r="AD21" s="147"/>
      <c r="AE21" s="147"/>
      <c r="AF21" s="147"/>
      <c r="AG21" s="147"/>
      <c r="AH21" s="147"/>
      <c r="AI21" s="147"/>
      <c r="AJ21" s="147"/>
    </row>
    <row r="22" spans="2:36" ht="24" customHeight="1">
      <c r="B22" s="64" t="s">
        <v>74</v>
      </c>
      <c r="C22" s="92">
        <v>1</v>
      </c>
      <c r="D22" s="92">
        <v>2</v>
      </c>
      <c r="E22" s="92">
        <v>4</v>
      </c>
      <c r="F22" s="92">
        <v>3</v>
      </c>
      <c r="G22" s="93">
        <v>3</v>
      </c>
      <c r="J22" s="44" t="s">
        <v>84</v>
      </c>
      <c r="K22" s="69"/>
      <c r="L22" s="42">
        <v>0</v>
      </c>
      <c r="M22" s="147"/>
      <c r="N22" s="147"/>
      <c r="O22" s="147"/>
      <c r="P22" s="147"/>
      <c r="Q22" s="147"/>
      <c r="R22" s="147"/>
      <c r="S22" s="147"/>
      <c r="T22" s="147"/>
      <c r="U22" s="147"/>
      <c r="V22" s="147"/>
      <c r="W22" s="147"/>
      <c r="X22" s="147"/>
      <c r="Y22" s="147"/>
      <c r="Z22" s="147"/>
      <c r="AJ22" s="41"/>
    </row>
    <row r="23" spans="2:36" ht="24" customHeight="1" thickBot="1">
      <c r="B23" s="65" t="s">
        <v>73</v>
      </c>
      <c r="C23" s="94">
        <v>1</v>
      </c>
      <c r="D23" s="94">
        <v>2</v>
      </c>
      <c r="E23" s="94">
        <v>3</v>
      </c>
      <c r="F23" s="94">
        <v>2</v>
      </c>
      <c r="G23" s="95">
        <v>2</v>
      </c>
      <c r="J23" s="43" t="s">
        <v>84</v>
      </c>
      <c r="K23" s="69"/>
      <c r="L23" s="42">
        <v>0</v>
      </c>
      <c r="M23" s="147"/>
      <c r="N23" s="147"/>
      <c r="O23" s="147"/>
      <c r="P23" s="147"/>
      <c r="Q23" s="147"/>
      <c r="R23" s="147"/>
      <c r="S23" s="147"/>
      <c r="T23" s="147"/>
      <c r="U23" s="147"/>
      <c r="V23" s="147"/>
      <c r="W23" s="147"/>
      <c r="X23" s="147"/>
      <c r="Y23" s="147"/>
      <c r="Z23" s="147"/>
      <c r="AA23" s="153"/>
      <c r="AB23" s="153"/>
      <c r="AC23" s="153"/>
      <c r="AD23" s="153"/>
      <c r="AE23" s="153"/>
      <c r="AF23" s="153"/>
      <c r="AG23" s="153"/>
      <c r="AH23" s="153"/>
      <c r="AI23" s="153"/>
      <c r="AJ23" s="154"/>
    </row>
    <row r="24" spans="2:36" ht="24" customHeight="1" thickBot="1">
      <c r="J24" s="216" t="s">
        <v>58</v>
      </c>
      <c r="K24" s="217"/>
      <c r="L24" s="40">
        <v>0</v>
      </c>
      <c r="M24" s="39" t="e">
        <f>AVERAGE(M16:M23)</f>
        <v>#DIV/0!</v>
      </c>
      <c r="N24" s="39" t="e">
        <f t="shared" ref="N24:AJ24" si="1">AVERAGE(N16:N23)</f>
        <v>#DIV/0!</v>
      </c>
      <c r="O24" s="39" t="e">
        <f t="shared" si="1"/>
        <v>#DIV/0!</v>
      </c>
      <c r="P24" s="39" t="e">
        <f t="shared" si="1"/>
        <v>#DIV/0!</v>
      </c>
      <c r="Q24" s="39" t="e">
        <f t="shared" si="1"/>
        <v>#DIV/0!</v>
      </c>
      <c r="R24" s="39" t="e">
        <f t="shared" si="1"/>
        <v>#DIV/0!</v>
      </c>
      <c r="S24" s="39" t="e">
        <f t="shared" si="1"/>
        <v>#DIV/0!</v>
      </c>
      <c r="T24" s="39" t="e">
        <f t="shared" si="1"/>
        <v>#DIV/0!</v>
      </c>
      <c r="U24" s="39" t="e">
        <f t="shared" si="1"/>
        <v>#DIV/0!</v>
      </c>
      <c r="V24" s="39" t="e">
        <f t="shared" si="1"/>
        <v>#DIV/0!</v>
      </c>
      <c r="W24" s="39" t="e">
        <f t="shared" si="1"/>
        <v>#DIV/0!</v>
      </c>
      <c r="X24" s="39" t="e">
        <f t="shared" si="1"/>
        <v>#DIV/0!</v>
      </c>
      <c r="Y24" s="39" t="e">
        <f t="shared" si="1"/>
        <v>#DIV/0!</v>
      </c>
      <c r="Z24" s="39" t="e">
        <f t="shared" si="1"/>
        <v>#DIV/0!</v>
      </c>
      <c r="AA24" s="39" t="e">
        <f t="shared" si="1"/>
        <v>#DIV/0!</v>
      </c>
      <c r="AB24" s="39" t="e">
        <f t="shared" si="1"/>
        <v>#DIV/0!</v>
      </c>
      <c r="AC24" s="39" t="e">
        <f t="shared" si="1"/>
        <v>#DIV/0!</v>
      </c>
      <c r="AD24" s="39" t="e">
        <f t="shared" si="1"/>
        <v>#DIV/0!</v>
      </c>
      <c r="AE24" s="39" t="e">
        <f t="shared" si="1"/>
        <v>#DIV/0!</v>
      </c>
      <c r="AF24" s="39" t="e">
        <f t="shared" si="1"/>
        <v>#DIV/0!</v>
      </c>
      <c r="AG24" s="39" t="e">
        <f t="shared" si="1"/>
        <v>#DIV/0!</v>
      </c>
      <c r="AH24" s="39" t="e">
        <f t="shared" si="1"/>
        <v>#DIV/0!</v>
      </c>
      <c r="AI24" s="39" t="e">
        <f t="shared" si="1"/>
        <v>#DIV/0!</v>
      </c>
      <c r="AJ24" s="38" t="e">
        <f t="shared" si="1"/>
        <v>#DIV/0!</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24" customHeight="1">
      <c r="J27" s="206" t="s">
        <v>91</v>
      </c>
      <c r="K27" s="207"/>
      <c r="L27" s="158">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47">
        <v>0.15979569178065556</v>
      </c>
    </row>
    <row r="28" spans="2:36" ht="24"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0.38842044041457102</v>
      </c>
      <c r="AF28" s="147">
        <v>0.46797880909447076</v>
      </c>
      <c r="AG28" s="147">
        <v>0.43129381818358792</v>
      </c>
      <c r="AH28" s="147">
        <v>0.46996211042729796</v>
      </c>
      <c r="AI28" s="147">
        <v>0.44902672224777396</v>
      </c>
      <c r="AJ28" s="147">
        <v>0.36564289381915693</v>
      </c>
    </row>
    <row r="29" spans="2:36" ht="24"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47">
        <v>0.24249812060483178</v>
      </c>
    </row>
    <row r="30" spans="2:36" ht="30"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30"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0.20531230398190789</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04" t="s">
        <v>90</v>
      </c>
      <c r="K68" s="20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7.25"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7.25"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J24:K24"/>
    <mergeCell ref="F1:H1"/>
    <mergeCell ref="B2:D3"/>
    <mergeCell ref="J2:K2"/>
    <mergeCell ref="J11:K11"/>
    <mergeCell ref="J15:K15"/>
    <mergeCell ref="J73:K73"/>
    <mergeCell ref="J26:K26"/>
    <mergeCell ref="J27:K27"/>
    <mergeCell ref="J28:K28"/>
    <mergeCell ref="J29:K29"/>
    <mergeCell ref="J30:K30"/>
    <mergeCell ref="J31:K31"/>
    <mergeCell ref="J68:K68"/>
    <mergeCell ref="J69:K69"/>
    <mergeCell ref="J70:K70"/>
    <mergeCell ref="J71:K71"/>
    <mergeCell ref="J72:K72"/>
  </mergeCells>
  <phoneticPr fontId="13" type="noConversion"/>
  <conditionalFormatting sqref="F3">
    <cfRule type="cellIs" dxfId="68" priority="2" operator="equal">
      <formula>"GOOD"</formula>
    </cfRule>
    <cfRule type="cellIs" dxfId="67" priority="4" operator="equal">
      <formula>"GOOD"</formula>
    </cfRule>
    <cfRule type="top10" dxfId="66" priority="5" percent="1" rank="10"/>
  </conditionalFormatting>
  <conditionalFormatting sqref="G3">
    <cfRule type="cellIs" dxfId="65" priority="1" operator="equal">
      <formula>"BAD"</formula>
    </cfRule>
    <cfRule type="cellIs" dxfId="64" priority="3" operator="equal">
      <formula>"BAD"</formula>
    </cfRule>
  </conditionalFormatting>
  <pageMargins left="0.7" right="0.7" top="0.75" bottom="0.75" header="0.3" footer="0.3"/>
  <pageSetup paperSize="9" orientation="portrait" horizontalDpi="360" verticalDpi="36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6C0D7-51A5-5448-8D70-432730CEB4F9}">
  <dimension ref="B1:AJ73"/>
  <sheetViews>
    <sheetView topLeftCell="A3" zoomScale="66" zoomScaleNormal="55" workbookViewId="0">
      <selection activeCell="B15" sqref="B15:G2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18"/>
      <c r="G1" s="219"/>
      <c r="H1" s="219"/>
    </row>
    <row r="2" spans="2:36" ht="24" customHeight="1" thickBot="1">
      <c r="B2" s="220" t="s">
        <v>121</v>
      </c>
      <c r="C2" s="221"/>
      <c r="D2" s="222"/>
      <c r="J2" s="226" t="s">
        <v>60</v>
      </c>
      <c r="K2" s="227"/>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23"/>
      <c r="C3" s="224"/>
      <c r="D3" s="225"/>
      <c r="F3" s="188" t="s">
        <v>130</v>
      </c>
      <c r="G3" s="189" t="s">
        <v>129</v>
      </c>
      <c r="J3" s="48" t="s">
        <v>81</v>
      </c>
      <c r="K3" s="66"/>
      <c r="L3" s="42">
        <v>0</v>
      </c>
      <c r="M3" s="147"/>
      <c r="N3" s="147"/>
      <c r="O3" s="147"/>
      <c r="P3" s="147"/>
      <c r="Q3" s="147"/>
      <c r="R3" s="147"/>
      <c r="S3" s="147"/>
      <c r="T3" s="147"/>
      <c r="U3" s="147"/>
      <c r="V3" s="147"/>
      <c r="W3" s="147"/>
      <c r="X3" s="147"/>
      <c r="Y3" s="147"/>
      <c r="Z3" s="147"/>
      <c r="AA3" s="147"/>
      <c r="AB3" s="147"/>
      <c r="AC3" s="147"/>
      <c r="AD3" s="147"/>
      <c r="AE3" s="147"/>
      <c r="AF3" s="147"/>
      <c r="AG3" s="147"/>
      <c r="AH3" s="147"/>
      <c r="AI3" s="147"/>
      <c r="AJ3" s="147"/>
    </row>
    <row r="4" spans="2:36" ht="24" customHeight="1" thickBot="1">
      <c r="J4" s="43" t="s">
        <v>81</v>
      </c>
      <c r="K4" s="67"/>
      <c r="L4" s="45">
        <v>0</v>
      </c>
      <c r="M4" s="147"/>
      <c r="N4" s="147"/>
      <c r="O4" s="147"/>
      <c r="P4" s="147"/>
      <c r="Q4" s="147"/>
      <c r="R4" s="147"/>
      <c r="S4" s="147"/>
      <c r="T4" s="147"/>
      <c r="U4" s="147"/>
      <c r="V4" s="147"/>
      <c r="W4" s="147"/>
      <c r="X4" s="147"/>
      <c r="Y4" s="147"/>
      <c r="Z4" s="147"/>
      <c r="AA4" s="147"/>
      <c r="AB4" s="147"/>
      <c r="AC4" s="147"/>
      <c r="AD4" s="147"/>
      <c r="AE4" s="147"/>
      <c r="AF4" s="147"/>
      <c r="AG4" s="147"/>
      <c r="AH4" s="147"/>
      <c r="AI4" s="147"/>
      <c r="AJ4" s="147"/>
    </row>
    <row r="5" spans="2:36" ht="24" customHeight="1">
      <c r="B5" s="51"/>
      <c r="C5" s="50">
        <v>2021</v>
      </c>
      <c r="D5" s="50">
        <v>2022</v>
      </c>
      <c r="E5" s="50">
        <v>2023</v>
      </c>
      <c r="F5" s="50">
        <v>2024</v>
      </c>
      <c r="G5" s="49">
        <v>2025</v>
      </c>
      <c r="J5" s="44" t="s">
        <v>82</v>
      </c>
      <c r="K5" s="68"/>
      <c r="L5" s="46">
        <v>0</v>
      </c>
      <c r="M5" s="147"/>
      <c r="N5" s="147"/>
      <c r="O5" s="147"/>
      <c r="P5" s="147"/>
      <c r="Q5" s="147"/>
      <c r="R5" s="147"/>
      <c r="S5" s="147"/>
      <c r="T5" s="147"/>
      <c r="U5" s="147"/>
      <c r="V5" s="147"/>
      <c r="W5" s="147"/>
      <c r="X5" s="147"/>
      <c r="Y5" s="147"/>
      <c r="Z5" s="147"/>
      <c r="AA5" s="147"/>
      <c r="AB5" s="147"/>
      <c r="AC5" s="147"/>
      <c r="AD5" s="147"/>
      <c r="AE5" s="147"/>
      <c r="AF5" s="147"/>
      <c r="AG5" s="147"/>
      <c r="AH5" s="147"/>
      <c r="AI5" s="147"/>
      <c r="AJ5" s="147"/>
    </row>
    <row r="6" spans="2:36" ht="24" customHeight="1">
      <c r="B6" s="47" t="s">
        <v>69</v>
      </c>
      <c r="C6" s="170">
        <v>0</v>
      </c>
      <c r="D6" s="171">
        <v>0</v>
      </c>
      <c r="E6" s="171">
        <v>0</v>
      </c>
      <c r="F6" s="171">
        <v>0</v>
      </c>
      <c r="G6" s="172">
        <v>0</v>
      </c>
      <c r="H6" s="1"/>
      <c r="J6" s="43" t="s">
        <v>82</v>
      </c>
      <c r="K6" s="67"/>
      <c r="L6" s="45">
        <v>0</v>
      </c>
      <c r="M6" s="147"/>
      <c r="N6" s="147"/>
      <c r="O6" s="147"/>
      <c r="P6" s="147"/>
      <c r="Q6" s="147"/>
      <c r="R6" s="147"/>
      <c r="S6" s="147"/>
      <c r="T6" s="147"/>
      <c r="U6" s="147"/>
      <c r="V6" s="147"/>
      <c r="W6" s="147"/>
      <c r="X6" s="147"/>
      <c r="Y6" s="147"/>
      <c r="Z6" s="147"/>
      <c r="AA6" s="147"/>
      <c r="AB6" s="147"/>
      <c r="AC6" s="147"/>
      <c r="AD6" s="147"/>
      <c r="AE6" s="147"/>
      <c r="AF6" s="147"/>
      <c r="AG6" s="147"/>
      <c r="AH6" s="147"/>
      <c r="AI6" s="147"/>
      <c r="AJ6" s="147"/>
    </row>
    <row r="7" spans="2:36" ht="24" customHeight="1">
      <c r="B7" s="47" t="s">
        <v>70</v>
      </c>
      <c r="C7" s="173">
        <v>0</v>
      </c>
      <c r="D7" s="174">
        <v>5.7710804745110611E-3</v>
      </c>
      <c r="E7" s="174">
        <v>2.6181818181818181E-2</v>
      </c>
      <c r="F7" s="174">
        <v>2.197802197802198E-2</v>
      </c>
      <c r="G7" s="175">
        <v>1.7496962332928311E-2</v>
      </c>
      <c r="H7" s="1"/>
      <c r="J7" s="44" t="s">
        <v>83</v>
      </c>
      <c r="K7" s="68"/>
      <c r="L7" s="46">
        <v>0</v>
      </c>
      <c r="M7" s="147"/>
      <c r="N7" s="147"/>
      <c r="O7" s="147"/>
      <c r="P7" s="147"/>
      <c r="Q7" s="147"/>
      <c r="R7" s="147"/>
      <c r="S7" s="147"/>
      <c r="T7" s="147"/>
      <c r="U7" s="147"/>
      <c r="V7" s="147"/>
      <c r="W7" s="147"/>
      <c r="X7" s="147"/>
      <c r="Y7" s="147"/>
      <c r="Z7" s="147"/>
      <c r="AA7" s="147"/>
      <c r="AB7" s="147"/>
      <c r="AC7" s="147"/>
      <c r="AD7" s="147"/>
      <c r="AE7" s="147"/>
      <c r="AF7" s="147"/>
      <c r="AG7" s="147"/>
      <c r="AH7" s="147"/>
      <c r="AI7" s="147"/>
      <c r="AJ7" s="147"/>
    </row>
    <row r="8" spans="2:36" ht="24" customHeight="1">
      <c r="B8" s="47" t="s">
        <v>71</v>
      </c>
      <c r="C8" s="173">
        <v>0</v>
      </c>
      <c r="D8" s="174">
        <v>0</v>
      </c>
      <c r="E8" s="174">
        <v>0</v>
      </c>
      <c r="F8" s="174">
        <v>0</v>
      </c>
      <c r="G8" s="175">
        <v>0</v>
      </c>
      <c r="J8" s="43" t="s">
        <v>83</v>
      </c>
      <c r="K8" s="67"/>
      <c r="L8" s="45">
        <v>0</v>
      </c>
      <c r="M8" s="147"/>
      <c r="N8" s="147"/>
      <c r="O8" s="147"/>
      <c r="P8" s="147"/>
      <c r="Q8" s="147"/>
      <c r="R8" s="147"/>
      <c r="S8" s="147"/>
      <c r="T8" s="147"/>
      <c r="U8" s="147"/>
      <c r="V8" s="147"/>
      <c r="W8" s="147"/>
      <c r="X8" s="147"/>
      <c r="Y8" s="147"/>
      <c r="Z8" s="147"/>
      <c r="AA8" s="147"/>
      <c r="AB8" s="147"/>
      <c r="AC8" s="147"/>
      <c r="AD8" s="147"/>
      <c r="AE8" s="147"/>
      <c r="AF8" s="147"/>
      <c r="AG8" s="147"/>
      <c r="AH8" s="147"/>
      <c r="AI8" s="147"/>
      <c r="AJ8" s="147"/>
    </row>
    <row r="9" spans="2:36" ht="24" customHeight="1">
      <c r="B9" s="47" t="s">
        <v>72</v>
      </c>
      <c r="C9" s="173">
        <v>0</v>
      </c>
      <c r="D9" s="174">
        <v>0</v>
      </c>
      <c r="E9" s="174">
        <v>1.4526086430214259E-2</v>
      </c>
      <c r="F9" s="174">
        <v>1.4072944763691803E-2</v>
      </c>
      <c r="G9" s="175">
        <v>0</v>
      </c>
      <c r="J9" s="44" t="s">
        <v>84</v>
      </c>
      <c r="K9" s="66"/>
      <c r="L9" s="42">
        <v>0</v>
      </c>
      <c r="M9" s="147"/>
      <c r="N9" s="147"/>
      <c r="O9" s="147"/>
      <c r="P9" s="147"/>
      <c r="Q9" s="147"/>
      <c r="R9" s="147"/>
      <c r="S9" s="147"/>
      <c r="T9" s="147"/>
      <c r="U9" s="147"/>
      <c r="V9" s="147"/>
      <c r="W9" s="147"/>
      <c r="X9" s="147"/>
      <c r="Y9" s="147"/>
      <c r="Z9" s="147"/>
      <c r="AJ9" s="41"/>
    </row>
    <row r="10" spans="2:36" ht="24" customHeight="1" thickBot="1">
      <c r="B10" s="63" t="s">
        <v>75</v>
      </c>
      <c r="C10" s="173">
        <v>0</v>
      </c>
      <c r="D10" s="174">
        <v>0</v>
      </c>
      <c r="E10" s="174">
        <v>0</v>
      </c>
      <c r="F10" s="174">
        <v>0</v>
      </c>
      <c r="G10" s="175">
        <v>0</v>
      </c>
      <c r="J10" s="43" t="s">
        <v>84</v>
      </c>
      <c r="K10" s="66"/>
      <c r="L10" s="42">
        <v>0</v>
      </c>
      <c r="M10" s="147"/>
      <c r="N10" s="147"/>
      <c r="O10" s="147"/>
      <c r="P10" s="147"/>
      <c r="Q10" s="147"/>
      <c r="R10" s="147"/>
      <c r="S10" s="147"/>
      <c r="T10" s="147"/>
      <c r="U10" s="147"/>
      <c r="V10" s="147"/>
      <c r="W10" s="147"/>
      <c r="X10" s="147"/>
      <c r="Y10" s="147"/>
      <c r="Z10" s="147"/>
      <c r="AA10" s="153"/>
      <c r="AB10" s="153"/>
      <c r="AC10" s="153"/>
      <c r="AD10" s="153"/>
      <c r="AE10" s="153"/>
      <c r="AF10" s="153"/>
      <c r="AG10" s="153"/>
      <c r="AH10" s="153"/>
      <c r="AI10" s="153"/>
      <c r="AJ10" s="154"/>
    </row>
    <row r="11" spans="2:36" ht="24" customHeight="1" thickBot="1">
      <c r="B11" s="47" t="s">
        <v>76</v>
      </c>
      <c r="C11" s="173">
        <v>0</v>
      </c>
      <c r="D11" s="174">
        <v>0</v>
      </c>
      <c r="E11" s="174">
        <v>0</v>
      </c>
      <c r="F11" s="174">
        <v>0</v>
      </c>
      <c r="G11" s="175">
        <v>0</v>
      </c>
      <c r="J11" s="216" t="s">
        <v>58</v>
      </c>
      <c r="K11" s="217"/>
      <c r="L11" s="40">
        <v>0</v>
      </c>
      <c r="M11" s="39" t="e">
        <f t="shared" ref="M11:AJ11" si="0">AVERAGE(M3:M10)</f>
        <v>#DIV/0!</v>
      </c>
      <c r="N11" s="39" t="e">
        <f t="shared" si="0"/>
        <v>#DIV/0!</v>
      </c>
      <c r="O11" s="39" t="e">
        <f t="shared" si="0"/>
        <v>#DIV/0!</v>
      </c>
      <c r="P11" s="39" t="e">
        <f t="shared" si="0"/>
        <v>#DIV/0!</v>
      </c>
      <c r="Q11" s="39" t="e">
        <f t="shared" si="0"/>
        <v>#DIV/0!</v>
      </c>
      <c r="R11" s="39" t="e">
        <f t="shared" si="0"/>
        <v>#DIV/0!</v>
      </c>
      <c r="S11" s="39" t="e">
        <f t="shared" si="0"/>
        <v>#DIV/0!</v>
      </c>
      <c r="T11" s="39" t="e">
        <f t="shared" si="0"/>
        <v>#DIV/0!</v>
      </c>
      <c r="U11" s="39" t="e">
        <f t="shared" si="0"/>
        <v>#DIV/0!</v>
      </c>
      <c r="V11" s="39" t="e">
        <f t="shared" si="0"/>
        <v>#DIV/0!</v>
      </c>
      <c r="W11" s="39" t="e">
        <f t="shared" si="0"/>
        <v>#DIV/0!</v>
      </c>
      <c r="X11" s="39" t="e">
        <f t="shared" si="0"/>
        <v>#DIV/0!</v>
      </c>
      <c r="Y11" s="39" t="e">
        <f t="shared" si="0"/>
        <v>#DIV/0!</v>
      </c>
      <c r="Z11" s="39" t="e">
        <f t="shared" si="0"/>
        <v>#DIV/0!</v>
      </c>
      <c r="AA11" s="39" t="e">
        <f t="shared" si="0"/>
        <v>#DIV/0!</v>
      </c>
      <c r="AB11" s="39" t="e">
        <f t="shared" si="0"/>
        <v>#DIV/0!</v>
      </c>
      <c r="AC11" s="39" t="e">
        <f t="shared" si="0"/>
        <v>#DIV/0!</v>
      </c>
      <c r="AD11" s="39" t="e">
        <f t="shared" si="0"/>
        <v>#DIV/0!</v>
      </c>
      <c r="AE11" s="39" t="e">
        <f t="shared" si="0"/>
        <v>#DIV/0!</v>
      </c>
      <c r="AF11" s="39" t="e">
        <f t="shared" si="0"/>
        <v>#DIV/0!</v>
      </c>
      <c r="AG11" s="39" t="e">
        <f t="shared" si="0"/>
        <v>#DIV/0!</v>
      </c>
      <c r="AH11" s="39" t="e">
        <f t="shared" si="0"/>
        <v>#DIV/0!</v>
      </c>
      <c r="AI11" s="39" t="e">
        <f t="shared" si="0"/>
        <v>#DIV/0!</v>
      </c>
      <c r="AJ11" s="38" t="e">
        <f t="shared" si="0"/>
        <v>#DIV/0!</v>
      </c>
    </row>
    <row r="12" spans="2:36" ht="24" customHeight="1">
      <c r="B12" s="64" t="s">
        <v>74</v>
      </c>
      <c r="C12" s="173">
        <v>0</v>
      </c>
      <c r="D12" s="174">
        <v>0</v>
      </c>
      <c r="E12" s="174">
        <v>0</v>
      </c>
      <c r="F12" s="174">
        <v>0</v>
      </c>
      <c r="G12" s="175">
        <v>0</v>
      </c>
    </row>
    <row r="13" spans="2:36" ht="24" customHeight="1" thickBot="1">
      <c r="B13" s="65" t="s">
        <v>73</v>
      </c>
      <c r="C13" s="176">
        <v>0</v>
      </c>
      <c r="D13" s="177">
        <v>0</v>
      </c>
      <c r="E13" s="177">
        <v>7.2777125057937419E-4</v>
      </c>
      <c r="F13" s="177">
        <v>1.4007403327207749E-3</v>
      </c>
      <c r="G13" s="178">
        <v>1.3378798951771105E-3</v>
      </c>
    </row>
    <row r="14" spans="2:36" ht="24" customHeight="1" thickBot="1"/>
    <row r="15" spans="2:36" ht="24" customHeight="1" thickBot="1">
      <c r="B15" s="51"/>
      <c r="C15" s="50">
        <v>2021</v>
      </c>
      <c r="D15" s="50">
        <v>2022</v>
      </c>
      <c r="E15" s="50">
        <v>2023</v>
      </c>
      <c r="F15" s="50">
        <v>2024</v>
      </c>
      <c r="G15" s="49">
        <v>2025</v>
      </c>
      <c r="J15" s="228" t="s">
        <v>59</v>
      </c>
      <c r="K15" s="229"/>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1</v>
      </c>
      <c r="D16" s="84">
        <v>2</v>
      </c>
      <c r="E16" s="84">
        <v>4</v>
      </c>
      <c r="F16" s="84">
        <v>4</v>
      </c>
      <c r="G16" s="85">
        <v>3</v>
      </c>
      <c r="J16" s="48" t="s">
        <v>81</v>
      </c>
      <c r="K16" s="69"/>
      <c r="L16" s="42">
        <v>0</v>
      </c>
      <c r="M16" s="147"/>
      <c r="N16" s="147"/>
      <c r="O16" s="147"/>
      <c r="P16" s="147"/>
      <c r="Q16" s="147"/>
      <c r="R16" s="147"/>
      <c r="S16" s="147"/>
      <c r="T16" s="147"/>
      <c r="U16" s="147"/>
      <c r="V16" s="147"/>
      <c r="W16" s="147"/>
      <c r="X16" s="147"/>
      <c r="Y16" s="147"/>
      <c r="Z16" s="147"/>
      <c r="AA16" s="147"/>
      <c r="AB16" s="147"/>
      <c r="AC16" s="147"/>
      <c r="AD16" s="147"/>
      <c r="AE16" s="147"/>
      <c r="AF16" s="147"/>
      <c r="AG16" s="147"/>
      <c r="AH16" s="147"/>
      <c r="AI16" s="147"/>
      <c r="AJ16" s="147"/>
    </row>
    <row r="17" spans="2:36" ht="24" customHeight="1">
      <c r="B17" s="47" t="s">
        <v>70</v>
      </c>
      <c r="C17" s="84">
        <v>1</v>
      </c>
      <c r="D17" s="84">
        <v>1</v>
      </c>
      <c r="E17" s="84">
        <v>1</v>
      </c>
      <c r="F17" s="84">
        <v>1</v>
      </c>
      <c r="G17" s="85">
        <v>1</v>
      </c>
      <c r="J17" s="43" t="s">
        <v>81</v>
      </c>
      <c r="K17" s="70"/>
      <c r="L17" s="45">
        <v>0</v>
      </c>
      <c r="M17" s="147"/>
      <c r="N17" s="147"/>
      <c r="O17" s="147"/>
      <c r="P17" s="147"/>
      <c r="Q17" s="147"/>
      <c r="R17" s="147"/>
      <c r="S17" s="147"/>
      <c r="T17" s="147"/>
      <c r="U17" s="147"/>
      <c r="V17" s="147"/>
      <c r="W17" s="147"/>
      <c r="X17" s="147"/>
      <c r="Y17" s="147"/>
      <c r="Z17" s="147"/>
      <c r="AA17" s="147"/>
      <c r="AB17" s="147"/>
      <c r="AC17" s="147"/>
      <c r="AD17" s="147"/>
      <c r="AE17" s="147"/>
      <c r="AF17" s="147"/>
      <c r="AG17" s="147"/>
      <c r="AH17" s="147"/>
      <c r="AI17" s="147"/>
      <c r="AJ17" s="147"/>
    </row>
    <row r="18" spans="2:36" ht="24" customHeight="1">
      <c r="B18" s="47" t="s">
        <v>71</v>
      </c>
      <c r="C18" s="86">
        <v>1</v>
      </c>
      <c r="D18" s="86">
        <v>2</v>
      </c>
      <c r="E18" s="86">
        <v>4</v>
      </c>
      <c r="F18" s="86">
        <v>4</v>
      </c>
      <c r="G18" s="87">
        <v>3</v>
      </c>
      <c r="J18" s="44" t="s">
        <v>82</v>
      </c>
      <c r="K18" s="71"/>
      <c r="L18" s="46">
        <v>0</v>
      </c>
      <c r="M18" s="147"/>
      <c r="N18" s="147"/>
      <c r="O18" s="147"/>
      <c r="P18" s="147"/>
      <c r="Q18" s="147"/>
      <c r="R18" s="147"/>
      <c r="S18" s="147"/>
      <c r="T18" s="147"/>
      <c r="U18" s="147"/>
      <c r="V18" s="147"/>
      <c r="W18" s="147"/>
      <c r="X18" s="147"/>
      <c r="Y18" s="147"/>
      <c r="Z18" s="147"/>
      <c r="AA18" s="147"/>
      <c r="AB18" s="147"/>
      <c r="AC18" s="147"/>
      <c r="AD18" s="147"/>
      <c r="AE18" s="147"/>
      <c r="AF18" s="147"/>
      <c r="AG18" s="147"/>
      <c r="AH18" s="147"/>
      <c r="AI18" s="147"/>
      <c r="AJ18" s="147"/>
    </row>
    <row r="19" spans="2:36" ht="24" customHeight="1">
      <c r="B19" s="47" t="s">
        <v>72</v>
      </c>
      <c r="C19" s="86">
        <v>1</v>
      </c>
      <c r="D19" s="86">
        <v>2</v>
      </c>
      <c r="E19" s="86">
        <v>2</v>
      </c>
      <c r="F19" s="86">
        <v>2</v>
      </c>
      <c r="G19" s="87">
        <v>3</v>
      </c>
      <c r="J19" s="43" t="s">
        <v>82</v>
      </c>
      <c r="K19" s="70"/>
      <c r="L19" s="45">
        <v>0</v>
      </c>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row>
    <row r="20" spans="2:36" ht="24" customHeight="1">
      <c r="B20" s="63" t="s">
        <v>75</v>
      </c>
      <c r="C20" s="88">
        <v>1</v>
      </c>
      <c r="D20" s="89">
        <v>2</v>
      </c>
      <c r="E20" s="89">
        <v>4</v>
      </c>
      <c r="F20" s="89">
        <v>4</v>
      </c>
      <c r="G20" s="90">
        <v>3</v>
      </c>
      <c r="J20" s="44" t="s">
        <v>83</v>
      </c>
      <c r="K20" s="71"/>
      <c r="L20" s="46">
        <v>0</v>
      </c>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row>
    <row r="21" spans="2:36" ht="24" customHeight="1">
      <c r="B21" s="47" t="s">
        <v>76</v>
      </c>
      <c r="C21" s="91">
        <v>1</v>
      </c>
      <c r="D21" s="91">
        <v>2</v>
      </c>
      <c r="E21" s="84">
        <v>4</v>
      </c>
      <c r="F21" s="84">
        <v>4</v>
      </c>
      <c r="G21" s="85">
        <v>3</v>
      </c>
      <c r="J21" s="43" t="s">
        <v>83</v>
      </c>
      <c r="K21" s="70"/>
      <c r="L21" s="45">
        <v>0</v>
      </c>
      <c r="M21" s="147"/>
      <c r="N21" s="147"/>
      <c r="O21" s="147"/>
      <c r="P21" s="147"/>
      <c r="Q21" s="147"/>
      <c r="R21" s="147"/>
      <c r="S21" s="147"/>
      <c r="T21" s="147"/>
      <c r="U21" s="147"/>
      <c r="V21" s="147"/>
      <c r="W21" s="147"/>
      <c r="X21" s="147"/>
      <c r="Y21" s="147"/>
      <c r="Z21" s="147"/>
      <c r="AA21" s="147"/>
      <c r="AB21" s="147"/>
      <c r="AC21" s="147"/>
      <c r="AD21" s="147"/>
      <c r="AE21" s="147"/>
      <c r="AF21" s="147"/>
      <c r="AG21" s="147"/>
      <c r="AH21" s="147"/>
      <c r="AI21" s="147"/>
      <c r="AJ21" s="147"/>
    </row>
    <row r="22" spans="2:36" ht="24" customHeight="1">
      <c r="B22" s="64" t="s">
        <v>74</v>
      </c>
      <c r="C22" s="92">
        <v>1</v>
      </c>
      <c r="D22" s="92">
        <v>2</v>
      </c>
      <c r="E22" s="92">
        <v>4</v>
      </c>
      <c r="F22" s="92">
        <v>4</v>
      </c>
      <c r="G22" s="93">
        <v>3</v>
      </c>
      <c r="J22" s="44" t="s">
        <v>84</v>
      </c>
      <c r="K22" s="69"/>
      <c r="L22" s="42">
        <v>0</v>
      </c>
      <c r="M22" s="147"/>
      <c r="N22" s="147"/>
      <c r="O22" s="147"/>
      <c r="P22" s="147"/>
      <c r="Q22" s="147"/>
      <c r="R22" s="147"/>
      <c r="S22" s="147"/>
      <c r="T22" s="147"/>
      <c r="U22" s="147"/>
      <c r="V22" s="147"/>
      <c r="W22" s="147"/>
      <c r="X22" s="147"/>
      <c r="Y22" s="147"/>
      <c r="Z22" s="147"/>
      <c r="AJ22" s="41"/>
    </row>
    <row r="23" spans="2:36" ht="24" customHeight="1" thickBot="1">
      <c r="B23" s="65" t="s">
        <v>73</v>
      </c>
      <c r="C23" s="94">
        <v>1</v>
      </c>
      <c r="D23" s="94">
        <v>2</v>
      </c>
      <c r="E23" s="94">
        <v>3</v>
      </c>
      <c r="F23" s="94">
        <v>3</v>
      </c>
      <c r="G23" s="95">
        <v>2</v>
      </c>
      <c r="J23" s="43" t="s">
        <v>84</v>
      </c>
      <c r="K23" s="69"/>
      <c r="L23" s="42">
        <v>0</v>
      </c>
      <c r="M23" s="147"/>
      <c r="N23" s="147"/>
      <c r="O23" s="147"/>
      <c r="P23" s="147"/>
      <c r="Q23" s="147"/>
      <c r="R23" s="147"/>
      <c r="S23" s="147"/>
      <c r="T23" s="147"/>
      <c r="U23" s="147"/>
      <c r="V23" s="147"/>
      <c r="W23" s="147"/>
      <c r="X23" s="147"/>
      <c r="Y23" s="147"/>
      <c r="Z23" s="147"/>
      <c r="AA23" s="153"/>
      <c r="AB23" s="153"/>
      <c r="AC23" s="153"/>
      <c r="AD23" s="153"/>
      <c r="AE23" s="153"/>
      <c r="AF23" s="153"/>
      <c r="AG23" s="153"/>
      <c r="AH23" s="153"/>
      <c r="AI23" s="153"/>
      <c r="AJ23" s="154"/>
    </row>
    <row r="24" spans="2:36" ht="24" customHeight="1" thickBot="1">
      <c r="J24" s="216" t="s">
        <v>58</v>
      </c>
      <c r="K24" s="217"/>
      <c r="L24" s="40">
        <v>0</v>
      </c>
      <c r="M24" s="39" t="e">
        <f>AVERAGE(M16:M23)</f>
        <v>#DIV/0!</v>
      </c>
      <c r="N24" s="39" t="e">
        <f t="shared" ref="N24:AJ24" si="1">AVERAGE(N16:N23)</f>
        <v>#DIV/0!</v>
      </c>
      <c r="O24" s="39" t="e">
        <f t="shared" si="1"/>
        <v>#DIV/0!</v>
      </c>
      <c r="P24" s="39" t="e">
        <f t="shared" si="1"/>
        <v>#DIV/0!</v>
      </c>
      <c r="Q24" s="39" t="e">
        <f t="shared" si="1"/>
        <v>#DIV/0!</v>
      </c>
      <c r="R24" s="39" t="e">
        <f t="shared" si="1"/>
        <v>#DIV/0!</v>
      </c>
      <c r="S24" s="39" t="e">
        <f t="shared" si="1"/>
        <v>#DIV/0!</v>
      </c>
      <c r="T24" s="39" t="e">
        <f t="shared" si="1"/>
        <v>#DIV/0!</v>
      </c>
      <c r="U24" s="39" t="e">
        <f t="shared" si="1"/>
        <v>#DIV/0!</v>
      </c>
      <c r="V24" s="39" t="e">
        <f t="shared" si="1"/>
        <v>#DIV/0!</v>
      </c>
      <c r="W24" s="39" t="e">
        <f t="shared" si="1"/>
        <v>#DIV/0!</v>
      </c>
      <c r="X24" s="39" t="e">
        <f t="shared" si="1"/>
        <v>#DIV/0!</v>
      </c>
      <c r="Y24" s="39" t="e">
        <f t="shared" si="1"/>
        <v>#DIV/0!</v>
      </c>
      <c r="Z24" s="39" t="e">
        <f t="shared" si="1"/>
        <v>#DIV/0!</v>
      </c>
      <c r="AA24" s="39" t="e">
        <f t="shared" si="1"/>
        <v>#DIV/0!</v>
      </c>
      <c r="AB24" s="39" t="e">
        <f t="shared" si="1"/>
        <v>#DIV/0!</v>
      </c>
      <c r="AC24" s="39" t="e">
        <f t="shared" si="1"/>
        <v>#DIV/0!</v>
      </c>
      <c r="AD24" s="39" t="e">
        <f t="shared" si="1"/>
        <v>#DIV/0!</v>
      </c>
      <c r="AE24" s="39" t="e">
        <f t="shared" si="1"/>
        <v>#DIV/0!</v>
      </c>
      <c r="AF24" s="39" t="e">
        <f t="shared" si="1"/>
        <v>#DIV/0!</v>
      </c>
      <c r="AG24" s="39" t="e">
        <f t="shared" si="1"/>
        <v>#DIV/0!</v>
      </c>
      <c r="AH24" s="39" t="e">
        <f t="shared" si="1"/>
        <v>#DIV/0!</v>
      </c>
      <c r="AI24" s="39" t="e">
        <f t="shared" si="1"/>
        <v>#DIV/0!</v>
      </c>
      <c r="AJ24" s="38" t="e">
        <f t="shared" si="1"/>
        <v>#DIV/0!</v>
      </c>
    </row>
    <row r="25" spans="2:36" ht="24" customHeight="1" thickBo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24"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24" customHeight="1">
      <c r="J27" s="206" t="s">
        <v>91</v>
      </c>
      <c r="K27" s="207"/>
      <c r="L27" s="158">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47">
        <v>0.15979569178065556</v>
      </c>
    </row>
    <row r="28" spans="2:36" ht="24"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0.38842044041457102</v>
      </c>
      <c r="AF28" s="147">
        <v>0.46797880909447076</v>
      </c>
      <c r="AG28" s="147">
        <v>0.43129381818358792</v>
      </c>
      <c r="AH28" s="147">
        <v>0.46996211042729796</v>
      </c>
      <c r="AI28" s="147">
        <v>0.44902672224777396</v>
      </c>
      <c r="AJ28" s="147">
        <v>0.36564289381915693</v>
      </c>
    </row>
    <row r="29" spans="2:36" ht="24"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47">
        <v>0.24249812060483178</v>
      </c>
    </row>
    <row r="30" spans="2:36" ht="30"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30"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0.20531230398190789</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7" spans="10:36" ht="17.25" thickBot="1"/>
    <row r="68" spans="10:36" ht="35.25" thickBot="1">
      <c r="J68" s="204" t="s">
        <v>90</v>
      </c>
      <c r="K68" s="20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7.25"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7.25"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J24:K24"/>
    <mergeCell ref="F1:H1"/>
    <mergeCell ref="B2:D3"/>
    <mergeCell ref="J2:K2"/>
    <mergeCell ref="J11:K11"/>
    <mergeCell ref="J15:K15"/>
    <mergeCell ref="J73:K73"/>
    <mergeCell ref="J26:K26"/>
    <mergeCell ref="J27:K27"/>
    <mergeCell ref="J28:K28"/>
    <mergeCell ref="J29:K29"/>
    <mergeCell ref="J30:K30"/>
    <mergeCell ref="J31:K31"/>
    <mergeCell ref="J68:K68"/>
    <mergeCell ref="J69:K69"/>
    <mergeCell ref="J70:K70"/>
    <mergeCell ref="J71:K71"/>
    <mergeCell ref="J72:K72"/>
  </mergeCells>
  <phoneticPr fontId="13" type="noConversion"/>
  <conditionalFormatting sqref="F3">
    <cfRule type="cellIs" dxfId="63" priority="2" operator="equal">
      <formula>"GOOD"</formula>
    </cfRule>
    <cfRule type="cellIs" dxfId="62" priority="4" operator="equal">
      <formula>"GOOD"</formula>
    </cfRule>
    <cfRule type="top10" dxfId="61" priority="5" percent="1" rank="10"/>
  </conditionalFormatting>
  <conditionalFormatting sqref="G3">
    <cfRule type="cellIs" dxfId="60" priority="1" operator="equal">
      <formula>"BAD"</formula>
    </cfRule>
    <cfRule type="cellIs" dxfId="59" priority="3" operator="equal">
      <formula>"BAD"</formula>
    </cfRule>
  </conditionalFormatting>
  <pageMargins left="0.7" right="0.7" top="0.75" bottom="0.75" header="0.3" footer="0.3"/>
  <pageSetup paperSize="9" orientation="portrait" horizontalDpi="360" verticalDpi="36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E7720-2C47-BF4C-AC08-7F9B4F7D4771}">
  <dimension ref="B1:AJ73"/>
  <sheetViews>
    <sheetView topLeftCell="L53" zoomScale="66" zoomScaleNormal="55" workbookViewId="0">
      <selection activeCell="B15" sqref="B15:G2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F1" s="218"/>
      <c r="G1" s="219"/>
      <c r="H1" s="219"/>
    </row>
    <row r="2" spans="2:36" ht="24" customHeight="1" thickBot="1">
      <c r="B2" s="220" t="s">
        <v>122</v>
      </c>
      <c r="C2" s="221"/>
      <c r="D2" s="222"/>
      <c r="J2" s="226" t="s">
        <v>60</v>
      </c>
      <c r="K2" s="227"/>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23"/>
      <c r="C3" s="224"/>
      <c r="D3" s="225"/>
      <c r="F3" s="188" t="s">
        <v>130</v>
      </c>
      <c r="G3" s="189" t="s">
        <v>129</v>
      </c>
      <c r="J3" s="48" t="s">
        <v>81</v>
      </c>
      <c r="K3" s="190" t="s">
        <v>101</v>
      </c>
      <c r="L3" s="42">
        <v>0</v>
      </c>
      <c r="M3" s="147">
        <v>-4.4342507645259932E-2</v>
      </c>
      <c r="N3" s="147">
        <v>-7.9701834862385357E-2</v>
      </c>
      <c r="O3" s="147">
        <v>-0.30358053007135566</v>
      </c>
      <c r="P3" s="147">
        <v>-0.28994648318042804</v>
      </c>
      <c r="Q3" s="147">
        <v>-0.40577217125382259</v>
      </c>
      <c r="R3" s="147">
        <v>-0.55058613659531086</v>
      </c>
      <c r="S3" s="147">
        <v>-0.53784403669724756</v>
      </c>
      <c r="T3" s="147">
        <v>-0.4912716615698266</v>
      </c>
      <c r="U3" s="147">
        <v>-0.58135830784913356</v>
      </c>
      <c r="V3" s="147">
        <v>-0.47024719673802229</v>
      </c>
      <c r="W3" s="147">
        <v>-0.36850152905198763</v>
      </c>
      <c r="X3" s="147">
        <v>-0.43361365953109066</v>
      </c>
      <c r="Y3" s="147">
        <v>-0.36015545361875634</v>
      </c>
      <c r="Z3" s="147">
        <v>-0.39965596330275222</v>
      </c>
      <c r="AA3" s="147">
        <v>-0.22241335372069315</v>
      </c>
      <c r="AB3" s="147">
        <v>-0.2382772680937818</v>
      </c>
      <c r="AC3" s="147">
        <v>-0.45291794087665638</v>
      </c>
      <c r="AD3" s="147">
        <v>-0.52395514780835883</v>
      </c>
      <c r="AE3" s="147">
        <v>-0.58741080530071343</v>
      </c>
      <c r="AF3" s="147">
        <v>-0.57581549439347612</v>
      </c>
      <c r="AG3" s="147">
        <v>-0.48318042813455653</v>
      </c>
      <c r="AH3" s="147">
        <v>-0.50949286442405706</v>
      </c>
      <c r="AI3" s="147">
        <v>-0.54466106014271154</v>
      </c>
      <c r="AJ3" s="152">
        <v>-0.52580275229357787</v>
      </c>
    </row>
    <row r="4" spans="2:36" ht="24" customHeight="1" thickBot="1">
      <c r="J4" s="43" t="s">
        <v>81</v>
      </c>
      <c r="K4" s="191" t="s">
        <v>100</v>
      </c>
      <c r="L4" s="45">
        <v>0</v>
      </c>
      <c r="M4" s="147">
        <v>-6.2403033959662069E-2</v>
      </c>
      <c r="N4" s="147">
        <v>-0.16807446991897945</v>
      </c>
      <c r="O4" s="147">
        <v>-0.30960179279434574</v>
      </c>
      <c r="P4" s="147">
        <v>-0.23582141010170654</v>
      </c>
      <c r="Q4" s="147">
        <v>-0.24909498362351312</v>
      </c>
      <c r="R4" s="147">
        <v>-0.32511635924840543</v>
      </c>
      <c r="S4" s="147">
        <v>-0.23358041716945344</v>
      </c>
      <c r="T4" s="147">
        <v>-0.18220996379934495</v>
      </c>
      <c r="U4" s="147">
        <v>-0.25978279606964327</v>
      </c>
      <c r="V4" s="147">
        <v>-0.11498017583175313</v>
      </c>
      <c r="W4" s="147">
        <v>-0.17548698500258586</v>
      </c>
      <c r="X4" s="147">
        <v>-0.27667643509739703</v>
      </c>
      <c r="Y4" s="147">
        <v>-0.25081882434063096</v>
      </c>
      <c r="Z4" s="147">
        <v>-0.22547836579900027</v>
      </c>
      <c r="AA4" s="147">
        <v>-8.3261506636786886E-2</v>
      </c>
      <c r="AB4" s="147">
        <v>-0.1616962592656439</v>
      </c>
      <c r="AC4" s="147">
        <v>-0.27650405102568532</v>
      </c>
      <c r="AD4" s="147">
        <v>-0.36079986209274273</v>
      </c>
      <c r="AE4" s="147">
        <v>-0.45474918117565943</v>
      </c>
      <c r="AF4" s="147">
        <v>-0.34821582485778313</v>
      </c>
      <c r="AG4" s="147">
        <v>-0.32649543182209972</v>
      </c>
      <c r="AH4" s="147">
        <v>-0.38234787105671453</v>
      </c>
      <c r="AI4" s="147">
        <v>-0.35545595586967771</v>
      </c>
      <c r="AJ4" s="152">
        <v>-0.25892087571108435</v>
      </c>
    </row>
    <row r="5" spans="2:36" ht="24" customHeight="1">
      <c r="B5" s="51"/>
      <c r="C5" s="50">
        <v>2021</v>
      </c>
      <c r="D5" s="50">
        <v>2022</v>
      </c>
      <c r="E5" s="50">
        <v>2023</v>
      </c>
      <c r="F5" s="50">
        <v>2024</v>
      </c>
      <c r="G5" s="49">
        <v>2025</v>
      </c>
      <c r="J5" s="44" t="s">
        <v>82</v>
      </c>
      <c r="K5" s="192" t="s">
        <v>101</v>
      </c>
      <c r="L5" s="46">
        <v>0</v>
      </c>
      <c r="M5" s="147">
        <v>0.12969628796400445</v>
      </c>
      <c r="N5" s="147">
        <v>5.9955005624297009E-2</v>
      </c>
      <c r="O5" s="147">
        <v>0.37289088863891995</v>
      </c>
      <c r="P5" s="147">
        <v>0.34488188976377954</v>
      </c>
      <c r="Q5" s="147">
        <v>-3.4083239595050552E-2</v>
      </c>
      <c r="R5" s="147">
        <v>-0.15950506186726654</v>
      </c>
      <c r="S5" s="147">
        <v>-0.27154105736782885</v>
      </c>
      <c r="T5" s="147">
        <v>-0.25106861642294709</v>
      </c>
      <c r="U5" s="147">
        <v>-8.7514060742406974E-2</v>
      </c>
      <c r="V5" s="147">
        <v>-0.13397075365579292</v>
      </c>
      <c r="W5" s="147">
        <v>-0.1960629921259841</v>
      </c>
      <c r="X5" s="147">
        <v>-0.1627671541057365</v>
      </c>
      <c r="Y5" s="147">
        <v>-0.39268841394825627</v>
      </c>
      <c r="Z5" s="147">
        <v>-0.40787401574803139</v>
      </c>
      <c r="AA5" s="147">
        <v>-0.43498312710911136</v>
      </c>
      <c r="AB5" s="147">
        <v>-0.36929133858267715</v>
      </c>
      <c r="AC5" s="147">
        <v>-0.52665916760404952</v>
      </c>
      <c r="AD5" s="147">
        <v>-0.38065241844769404</v>
      </c>
      <c r="AE5" s="147">
        <v>-0.26872890888638923</v>
      </c>
      <c r="AF5" s="147">
        <v>-7.9415073115860602E-2</v>
      </c>
      <c r="AG5" s="147">
        <v>5.8717660292463503E-2</v>
      </c>
      <c r="AH5" s="147">
        <v>0.152193475815523</v>
      </c>
      <c r="AI5" s="147">
        <v>-0.17322834645669305</v>
      </c>
      <c r="AJ5" s="152">
        <v>-0.41901012373453328</v>
      </c>
    </row>
    <row r="6" spans="2:36" ht="24" customHeight="1">
      <c r="B6" s="47" t="s">
        <v>69</v>
      </c>
      <c r="C6" s="138">
        <v>-11.332406978539446</v>
      </c>
      <c r="D6" s="139">
        <v>-8.9133107900399633</v>
      </c>
      <c r="E6" s="139">
        <v>-7.9504814305364517</v>
      </c>
      <c r="F6" s="139">
        <v>-6.0477493917274936</v>
      </c>
      <c r="G6" s="140">
        <v>-5.6444040587611699</v>
      </c>
      <c r="H6" s="1"/>
      <c r="J6" s="43" t="s">
        <v>82</v>
      </c>
      <c r="K6" s="191" t="s">
        <v>100</v>
      </c>
      <c r="L6" s="45">
        <v>0</v>
      </c>
      <c r="M6" s="147">
        <v>3.5748331744518601E-2</v>
      </c>
      <c r="N6" s="147">
        <v>7.0781696854146814E-2</v>
      </c>
      <c r="O6" s="147">
        <v>0.26739752144899898</v>
      </c>
      <c r="P6" s="147">
        <v>0.15896091515729283</v>
      </c>
      <c r="Q6" s="147">
        <v>2.3832221163022638E-4</v>
      </c>
      <c r="R6" s="147">
        <v>-0.1163012392755004</v>
      </c>
      <c r="S6" s="147">
        <v>-0.24618684461391793</v>
      </c>
      <c r="T6" s="147">
        <v>-9.8903717826501203E-2</v>
      </c>
      <c r="U6" s="147">
        <v>-6.8875119161105669E-2</v>
      </c>
      <c r="V6" s="147">
        <v>-0.14609151572926593</v>
      </c>
      <c r="W6" s="147">
        <v>-0.10891325071496649</v>
      </c>
      <c r="X6" s="147">
        <v>2.4547187797902881E-2</v>
      </c>
      <c r="Y6" s="147">
        <v>2.5262154432793116E-2</v>
      </c>
      <c r="Z6" s="147">
        <v>1.4299332697806921E-3</v>
      </c>
      <c r="AA6" s="147">
        <v>-3.7178265014299439E-2</v>
      </c>
      <c r="AB6" s="147">
        <v>-0.10557673975214499</v>
      </c>
      <c r="AC6" s="147">
        <v>-0.13941849380362259</v>
      </c>
      <c r="AD6" s="147">
        <v>7.7454718779790266E-2</v>
      </c>
      <c r="AE6" s="147">
        <v>0.14180171591992341</v>
      </c>
      <c r="AF6" s="147">
        <v>0.25357483317445162</v>
      </c>
      <c r="AG6" s="147">
        <v>0.5431363203050521</v>
      </c>
      <c r="AH6" s="147">
        <v>0.74571020019065726</v>
      </c>
      <c r="AI6" s="147">
        <v>0.72259294566253529</v>
      </c>
      <c r="AJ6" s="152">
        <v>0.17302192564346974</v>
      </c>
    </row>
    <row r="7" spans="2:36" ht="24" customHeight="1">
      <c r="B7" s="47" t="s">
        <v>70</v>
      </c>
      <c r="C7" s="141">
        <v>17.591216216216218</v>
      </c>
      <c r="D7" s="142">
        <v>18.021922428330523</v>
      </c>
      <c r="E7" s="142">
        <v>17.672268907563026</v>
      </c>
      <c r="F7" s="142">
        <v>17.307692307692307</v>
      </c>
      <c r="G7" s="143">
        <v>14.77962962962963</v>
      </c>
      <c r="H7" s="1"/>
      <c r="J7" s="44" t="s">
        <v>83</v>
      </c>
      <c r="K7" s="192" t="s">
        <v>101</v>
      </c>
      <c r="L7" s="46">
        <v>0</v>
      </c>
      <c r="M7" s="147">
        <v>-0.27462044874378611</v>
      </c>
      <c r="N7" s="147">
        <v>-0.29275829638586592</v>
      </c>
      <c r="O7" s="147">
        <v>-0.32513771328765295</v>
      </c>
      <c r="P7" s="147">
        <v>-0.24667472793228551</v>
      </c>
      <c r="Q7" s="147">
        <v>-0.43463657127502364</v>
      </c>
      <c r="R7" s="147">
        <v>-0.26024452505710072</v>
      </c>
      <c r="S7" s="147">
        <v>-0.12656187021362364</v>
      </c>
      <c r="T7" s="147">
        <v>9.9556630390971179E-2</v>
      </c>
      <c r="U7" s="147">
        <v>0.2645438667204083</v>
      </c>
      <c r="V7" s="147">
        <v>0.37619239553943284</v>
      </c>
      <c r="W7" s="147">
        <v>-1.2494961708988561E-2</v>
      </c>
      <c r="X7" s="147">
        <v>-0.30605938465672455</v>
      </c>
      <c r="Y7" s="147">
        <v>-0.36947467419051472</v>
      </c>
      <c r="Z7" s="147">
        <v>-0.25325809485422557</v>
      </c>
      <c r="AA7" s="147">
        <v>-0.26172242375386279</v>
      </c>
      <c r="AB7" s="147">
        <v>-0.30619373908370295</v>
      </c>
      <c r="AC7" s="147">
        <v>-0.15813516055354049</v>
      </c>
      <c r="AD7" s="147">
        <v>-0.18352814725245215</v>
      </c>
      <c r="AE7" s="147">
        <v>-0.16458417304850226</v>
      </c>
      <c r="AF7" s="147">
        <v>2.1093645035603403E-2</v>
      </c>
      <c r="AG7" s="147">
        <v>0.14564019884455148</v>
      </c>
      <c r="AH7" s="147">
        <v>0.19078328630928332</v>
      </c>
      <c r="AI7" s="147">
        <v>0.37243047158403808</v>
      </c>
      <c r="AJ7" s="152">
        <v>8.8808276232701377E-2</v>
      </c>
    </row>
    <row r="8" spans="2:36" ht="24" customHeight="1">
      <c r="B8" s="47" t="s">
        <v>71</v>
      </c>
      <c r="C8" s="141">
        <v>2.5066622589769749</v>
      </c>
      <c r="D8" s="142">
        <v>2.3391396523954837</v>
      </c>
      <c r="E8" s="142">
        <v>2.2827761848847716</v>
      </c>
      <c r="F8" s="142">
        <v>2.6667592791544803</v>
      </c>
      <c r="G8" s="143">
        <v>2.1556542719355845</v>
      </c>
      <c r="J8" s="43" t="s">
        <v>83</v>
      </c>
      <c r="K8" s="191" t="s">
        <v>100</v>
      </c>
      <c r="L8" s="45">
        <v>0</v>
      </c>
      <c r="M8" s="147">
        <v>6.9783670621070826E-4</v>
      </c>
      <c r="N8" s="147">
        <v>-2.2563386834147492E-2</v>
      </c>
      <c r="O8" s="147">
        <v>-6.0246568969527847E-2</v>
      </c>
      <c r="P8" s="147">
        <v>-0.1270062805303559</v>
      </c>
      <c r="Q8" s="147">
        <v>-0.16003721795766457</v>
      </c>
      <c r="R8" s="147">
        <v>5.1639916259595298E-2</v>
      </c>
      <c r="S8" s="147">
        <v>0.11444521981856237</v>
      </c>
      <c r="T8" s="147">
        <v>0.22354035822284257</v>
      </c>
      <c r="U8" s="147">
        <v>0.50616422423819496</v>
      </c>
      <c r="V8" s="147">
        <v>0.70388462433123977</v>
      </c>
      <c r="W8" s="147">
        <v>0.68132123749709228</v>
      </c>
      <c r="X8" s="147">
        <v>0.14491742265643159</v>
      </c>
      <c r="Y8" s="147">
        <v>2.9774366131658514E-2</v>
      </c>
      <c r="Z8" s="147">
        <v>0.18469411491044418</v>
      </c>
      <c r="AA8" s="147">
        <v>0.15096534077692469</v>
      </c>
      <c r="AB8" s="147">
        <v>0.23191439869737152</v>
      </c>
      <c r="AC8" s="147">
        <v>0.46033961386368927</v>
      </c>
      <c r="AD8" s="147">
        <v>0.15794370783903244</v>
      </c>
      <c r="AE8" s="147">
        <v>-2.9309141660851412E-2</v>
      </c>
      <c r="AF8" s="147">
        <v>-3.0239590602464395E-3</v>
      </c>
      <c r="AG8" s="147">
        <v>0.17003954408001865</v>
      </c>
      <c r="AH8" s="147">
        <v>0.18236799255640834</v>
      </c>
      <c r="AI8" s="147">
        <v>0.20027913468248437</v>
      </c>
      <c r="AJ8" s="152">
        <v>-0.14445219818562449</v>
      </c>
    </row>
    <row r="9" spans="2:36" ht="24" customHeight="1">
      <c r="B9" s="47" t="s">
        <v>72</v>
      </c>
      <c r="C9" s="141">
        <v>71.087148501045789</v>
      </c>
      <c r="D9" s="142">
        <v>67.971379252742352</v>
      </c>
      <c r="E9" s="142">
        <v>74.035107272220671</v>
      </c>
      <c r="F9" s="142">
        <v>61.023526775711403</v>
      </c>
      <c r="G9" s="143">
        <v>58.320055401662053</v>
      </c>
      <c r="J9" s="44" t="s">
        <v>84</v>
      </c>
      <c r="K9" s="190" t="s">
        <v>101</v>
      </c>
      <c r="L9" s="42">
        <v>0</v>
      </c>
      <c r="M9" s="147">
        <v>-9.1384317521781222E-2</v>
      </c>
      <c r="N9" s="147">
        <v>7.6089060987415413E-2</v>
      </c>
      <c r="O9" s="147">
        <v>6.3891577928364196E-2</v>
      </c>
      <c r="P9" s="147">
        <v>-1.9361084220703706E-4</v>
      </c>
      <c r="Q9" s="147">
        <v>0.21316553727008714</v>
      </c>
      <c r="R9" s="147">
        <v>0.17657308809293326</v>
      </c>
      <c r="S9" s="147">
        <v>0.20387221684414314</v>
      </c>
      <c r="T9" s="147">
        <v>0.4714424007744431</v>
      </c>
      <c r="U9" s="147">
        <v>0.65091965150048381</v>
      </c>
      <c r="V9" s="147">
        <v>0.71597289448209067</v>
      </c>
      <c r="W9" s="147">
        <v>0.97773475314617597</v>
      </c>
      <c r="X9" s="147">
        <v>0.56902226524685373</v>
      </c>
      <c r="Y9" s="147">
        <v>0.46447241045498533</v>
      </c>
      <c r="Z9" s="147">
        <v>0.77366892545982546</v>
      </c>
      <c r="AJ9" s="41"/>
    </row>
    <row r="10" spans="2:36" ht="24" customHeight="1" thickBot="1">
      <c r="B10" s="63" t="s">
        <v>75</v>
      </c>
      <c r="C10" s="141">
        <v>11.572459410703548</v>
      </c>
      <c r="D10" s="142">
        <v>10.57897862232779</v>
      </c>
      <c r="E10" s="142">
        <v>9.887407407407407</v>
      </c>
      <c r="F10" s="142">
        <v>7.8159218703758517</v>
      </c>
      <c r="G10" s="143">
        <v>6.2684801892371382</v>
      </c>
      <c r="J10" s="43" t="s">
        <v>84</v>
      </c>
      <c r="K10" s="190" t="s">
        <v>96</v>
      </c>
      <c r="L10" s="42">
        <v>0</v>
      </c>
      <c r="M10" s="147">
        <v>-3.3309196234613259E-3</v>
      </c>
      <c r="N10" s="147">
        <v>0.15047067342505427</v>
      </c>
      <c r="O10" s="147">
        <v>0.1532223026792181</v>
      </c>
      <c r="P10" s="147">
        <v>0.27892831281679986</v>
      </c>
      <c r="Q10" s="147">
        <v>0.52063721940622787</v>
      </c>
      <c r="R10" s="147">
        <v>0.39753801593048554</v>
      </c>
      <c r="S10" s="147">
        <v>0.36191165821868254</v>
      </c>
      <c r="T10" s="147">
        <v>0.47661115133960918</v>
      </c>
      <c r="U10" s="147">
        <v>0.61940622737147022</v>
      </c>
      <c r="V10" s="147">
        <v>0.48182476466328783</v>
      </c>
      <c r="W10" s="147">
        <v>0.53946415640839995</v>
      </c>
      <c r="X10" s="147">
        <v>0.33338160753077495</v>
      </c>
      <c r="Y10" s="147">
        <v>0.30340333091962357</v>
      </c>
      <c r="Z10" s="147">
        <v>0.63099203475742249</v>
      </c>
      <c r="AA10" s="153"/>
      <c r="AB10" s="153"/>
      <c r="AC10" s="153"/>
      <c r="AD10" s="153"/>
      <c r="AE10" s="153"/>
      <c r="AF10" s="153"/>
      <c r="AG10" s="153"/>
      <c r="AH10" s="153"/>
      <c r="AI10" s="153"/>
      <c r="AJ10" s="154"/>
    </row>
    <row r="11" spans="2:36" ht="24" customHeight="1" thickBot="1">
      <c r="B11" s="47" t="s">
        <v>76</v>
      </c>
      <c r="C11" s="141">
        <v>30.759967109413541</v>
      </c>
      <c r="D11" s="142">
        <v>30.511057575860814</v>
      </c>
      <c r="E11" s="142">
        <v>32.455503242679988</v>
      </c>
      <c r="F11" s="142">
        <v>34.480688359780586</v>
      </c>
      <c r="G11" s="143">
        <v>33.059428449044688</v>
      </c>
      <c r="J11" s="216" t="s">
        <v>58</v>
      </c>
      <c r="K11" s="217"/>
      <c r="L11" s="40">
        <v>0</v>
      </c>
      <c r="M11" s="39">
        <f t="shared" ref="M11:AJ11" si="0">AVERAGE(M3:M10)</f>
        <v>-3.8742346384902107E-2</v>
      </c>
      <c r="N11" s="39">
        <f t="shared" si="0"/>
        <v>-2.572519388880809E-2</v>
      </c>
      <c r="O11" s="39">
        <f t="shared" si="0"/>
        <v>-1.7645539303422622E-2</v>
      </c>
      <c r="P11" s="39">
        <f t="shared" si="0"/>
        <v>-1.460892435613885E-2</v>
      </c>
      <c r="Q11" s="39">
        <f t="shared" si="0"/>
        <v>-6.8697888102141169E-2</v>
      </c>
      <c r="R11" s="39">
        <f t="shared" si="0"/>
        <v>-9.8250287720071217E-2</v>
      </c>
      <c r="S11" s="39">
        <f t="shared" si="0"/>
        <v>-9.1935641397585449E-2</v>
      </c>
      <c r="T11" s="39">
        <f t="shared" si="0"/>
        <v>3.0962072638655774E-2</v>
      </c>
      <c r="U11" s="39">
        <f t="shared" si="0"/>
        <v>0.13043796075103348</v>
      </c>
      <c r="V11" s="39">
        <f t="shared" si="0"/>
        <v>0.17657312963265209</v>
      </c>
      <c r="W11" s="39">
        <f t="shared" si="0"/>
        <v>0.16713255355589446</v>
      </c>
      <c r="X11" s="39">
        <f t="shared" si="0"/>
        <v>-1.3406018769873213E-2</v>
      </c>
      <c r="Y11" s="39">
        <f t="shared" si="0"/>
        <v>-6.8778138019887192E-2</v>
      </c>
      <c r="Z11" s="39">
        <f t="shared" si="0"/>
        <v>3.806482108668291E-2</v>
      </c>
      <c r="AA11" s="39">
        <f t="shared" si="0"/>
        <v>-0.14809888924297146</v>
      </c>
      <c r="AB11" s="39">
        <f t="shared" si="0"/>
        <v>-0.15818682434676321</v>
      </c>
      <c r="AC11" s="39">
        <f t="shared" si="0"/>
        <v>-0.18221586666664413</v>
      </c>
      <c r="AD11" s="39">
        <f t="shared" si="0"/>
        <v>-0.20225619149707086</v>
      </c>
      <c r="AE11" s="39">
        <f t="shared" si="0"/>
        <v>-0.22716341569203205</v>
      </c>
      <c r="AF11" s="39">
        <f t="shared" si="0"/>
        <v>-0.12196697886955189</v>
      </c>
      <c r="AG11" s="39">
        <f t="shared" si="0"/>
        <v>1.7976310594238248E-2</v>
      </c>
      <c r="AH11" s="39">
        <f t="shared" si="0"/>
        <v>6.3202369898516728E-2</v>
      </c>
      <c r="AI11" s="39">
        <f t="shared" si="0"/>
        <v>3.6992864909995905E-2</v>
      </c>
      <c r="AJ11" s="38">
        <f t="shared" si="0"/>
        <v>-0.1810592913414415</v>
      </c>
    </row>
    <row r="12" spans="2:36" ht="24" customHeight="1">
      <c r="B12" s="64" t="s">
        <v>74</v>
      </c>
      <c r="C12" s="141">
        <v>15.6228642435539</v>
      </c>
      <c r="D12" s="142">
        <v>20.890639200242351</v>
      </c>
      <c r="E12" s="142">
        <v>28.092799035854174</v>
      </c>
      <c r="F12" s="142">
        <v>38.040216086434576</v>
      </c>
      <c r="G12" s="143">
        <v>46.520547945205479</v>
      </c>
    </row>
    <row r="13" spans="2:36" ht="24" customHeight="1" thickBot="1">
      <c r="B13" s="65" t="s">
        <v>73</v>
      </c>
      <c r="C13" s="144">
        <v>6.0639625585023404</v>
      </c>
      <c r="D13" s="145">
        <v>10.268330733229329</v>
      </c>
      <c r="E13" s="145">
        <v>17.270606531881803</v>
      </c>
      <c r="F13" s="145">
        <v>23.60030864197531</v>
      </c>
      <c r="G13" s="146">
        <v>31.88532110091743</v>
      </c>
    </row>
    <row r="14" spans="2:36" ht="24" customHeight="1" thickBot="1"/>
    <row r="15" spans="2:36" ht="24" customHeight="1" thickBot="1">
      <c r="B15" s="51"/>
      <c r="C15" s="50">
        <v>2021</v>
      </c>
      <c r="D15" s="50">
        <v>2022</v>
      </c>
      <c r="E15" s="50">
        <v>2023</v>
      </c>
      <c r="F15" s="50">
        <v>2024</v>
      </c>
      <c r="G15" s="49">
        <v>2025</v>
      </c>
      <c r="J15" s="228" t="s">
        <v>59</v>
      </c>
      <c r="K15" s="229"/>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8</v>
      </c>
      <c r="D16" s="84">
        <v>8</v>
      </c>
      <c r="E16" s="84">
        <v>8</v>
      </c>
      <c r="F16" s="84">
        <v>8</v>
      </c>
      <c r="G16" s="85">
        <v>8</v>
      </c>
      <c r="J16" s="48" t="s">
        <v>81</v>
      </c>
      <c r="K16" s="197" t="s">
        <v>98</v>
      </c>
      <c r="L16" s="42">
        <v>0</v>
      </c>
      <c r="M16" s="147">
        <v>-6.3548102383053862E-2</v>
      </c>
      <c r="N16" s="147">
        <v>-5.1191526919682206E-2</v>
      </c>
      <c r="O16" s="147">
        <v>-0.17299205648720217</v>
      </c>
      <c r="P16" s="147">
        <v>0.27802294792586069</v>
      </c>
      <c r="Q16" s="147">
        <v>0.13857016769638153</v>
      </c>
      <c r="R16" s="147">
        <v>-0.14386584289496906</v>
      </c>
      <c r="S16" s="147">
        <v>0.15710503089143879</v>
      </c>
      <c r="T16" s="147">
        <v>0.15092674315975296</v>
      </c>
      <c r="U16" s="147">
        <v>-9.3556928508384707E-2</v>
      </c>
      <c r="V16" s="147">
        <v>0.1103265666372466</v>
      </c>
      <c r="W16" s="147">
        <v>3.7952338923213036E-2</v>
      </c>
      <c r="X16" s="147">
        <v>-0.13150926743159719</v>
      </c>
      <c r="Y16" s="147">
        <v>-0.1624007060900261</v>
      </c>
      <c r="Z16" s="147">
        <v>-0.27360988526037033</v>
      </c>
      <c r="AA16" s="147">
        <v>-0.14651368049426261</v>
      </c>
      <c r="AB16" s="147">
        <v>-0.17917034421888745</v>
      </c>
      <c r="AC16" s="147">
        <v>-0.44571932921447455</v>
      </c>
      <c r="AD16" s="147">
        <v>-0.57281553398058227</v>
      </c>
      <c r="AE16" s="147">
        <v>-0.70079435127978806</v>
      </c>
      <c r="AF16" s="147">
        <v>-0.6548984995586935</v>
      </c>
      <c r="AG16" s="147">
        <v>-0.51809355692850811</v>
      </c>
      <c r="AH16" s="147">
        <v>-0.57016769638128828</v>
      </c>
      <c r="AI16" s="147">
        <v>-0.38746690203000833</v>
      </c>
      <c r="AJ16" s="152">
        <v>-0.28420123565754574</v>
      </c>
    </row>
    <row r="17" spans="2:36" ht="24" customHeight="1">
      <c r="B17" s="47" t="s">
        <v>70</v>
      </c>
      <c r="C17" s="84">
        <v>3</v>
      </c>
      <c r="D17" s="84">
        <v>4</v>
      </c>
      <c r="E17" s="84">
        <v>4</v>
      </c>
      <c r="F17" s="84">
        <v>5</v>
      </c>
      <c r="G17" s="85">
        <v>5</v>
      </c>
      <c r="J17" s="43" t="s">
        <v>81</v>
      </c>
      <c r="K17" s="198" t="s">
        <v>104</v>
      </c>
      <c r="L17" s="45">
        <v>0</v>
      </c>
      <c r="M17" s="147">
        <v>2.8493150684931523E-2</v>
      </c>
      <c r="N17" s="147">
        <v>-2.082191780821907E-2</v>
      </c>
      <c r="O17" s="147">
        <v>-0.30520547945205467</v>
      </c>
      <c r="P17" s="147">
        <v>-0.24876712328767103</v>
      </c>
      <c r="Q17" s="147">
        <v>-0.28821917808219166</v>
      </c>
      <c r="R17" s="147">
        <v>-0.34027397260273973</v>
      </c>
      <c r="S17" s="147">
        <v>-0.22301369863013698</v>
      </c>
      <c r="T17" s="147">
        <v>-0.20931506849315062</v>
      </c>
      <c r="U17" s="147">
        <v>-0.30301369863013694</v>
      </c>
      <c r="V17" s="147">
        <v>-0.11561643835616431</v>
      </c>
      <c r="W17" s="147">
        <v>-0.12438356164383557</v>
      </c>
      <c r="X17" s="147">
        <v>-0.19178082191780821</v>
      </c>
      <c r="Y17" s="147">
        <v>-0.25260273972602731</v>
      </c>
      <c r="Z17" s="147">
        <v>-0.19013698630136988</v>
      </c>
      <c r="AA17" s="147">
        <v>-1.69863013698629E-2</v>
      </c>
      <c r="AB17" s="147">
        <v>-8.2191780821917693E-2</v>
      </c>
      <c r="AC17" s="147">
        <v>-0.19287671232876702</v>
      </c>
      <c r="AD17" s="147">
        <v>-0.29808219178082185</v>
      </c>
      <c r="AE17" s="147">
        <v>-0.38904109589041092</v>
      </c>
      <c r="AF17" s="147">
        <v>-0.31890410958904114</v>
      </c>
      <c r="AG17" s="147">
        <v>-0.24712328767123293</v>
      </c>
      <c r="AH17" s="147">
        <v>-0.22027397260273973</v>
      </c>
      <c r="AI17" s="147">
        <v>-0.14082191780821918</v>
      </c>
      <c r="AJ17" s="152">
        <v>-0.15890410958904111</v>
      </c>
    </row>
    <row r="18" spans="2:36" ht="24" customHeight="1">
      <c r="B18" s="47" t="s">
        <v>71</v>
      </c>
      <c r="C18" s="86">
        <v>7</v>
      </c>
      <c r="D18" s="86">
        <v>7</v>
      </c>
      <c r="E18" s="86">
        <v>7</v>
      </c>
      <c r="F18" s="86">
        <v>7</v>
      </c>
      <c r="G18" s="87">
        <v>7</v>
      </c>
      <c r="J18" s="44" t="s">
        <v>82</v>
      </c>
      <c r="K18" s="199" t="s">
        <v>98</v>
      </c>
      <c r="L18" s="46">
        <v>0</v>
      </c>
      <c r="M18" s="147">
        <v>-3.5569105691056868E-2</v>
      </c>
      <c r="N18" s="147">
        <v>-0.16361788617886164</v>
      </c>
      <c r="O18" s="147">
        <v>-1.7276422764227584E-2</v>
      </c>
      <c r="P18" s="147">
        <v>-5.4878048780487743E-2</v>
      </c>
      <c r="Q18" s="147">
        <v>-0.36178861788617878</v>
      </c>
      <c r="R18" s="147">
        <v>-0.50813008130081294</v>
      </c>
      <c r="S18" s="147">
        <v>-0.65548780487804881</v>
      </c>
      <c r="T18" s="147">
        <v>-0.60264227642276413</v>
      </c>
      <c r="U18" s="147">
        <v>-0.44512195121951215</v>
      </c>
      <c r="V18" s="147">
        <v>-0.50508130081300806</v>
      </c>
      <c r="W18" s="147">
        <v>-0.2947154471544714</v>
      </c>
      <c r="X18" s="147">
        <v>-0.17581300813008116</v>
      </c>
      <c r="Y18" s="147">
        <v>-0.38617886178861771</v>
      </c>
      <c r="Z18" s="147">
        <v>-0.44410569105691045</v>
      </c>
      <c r="AA18" s="147">
        <v>-0.4989837398373983</v>
      </c>
      <c r="AB18" s="147">
        <v>-0.59949186991869907</v>
      </c>
      <c r="AC18" s="147">
        <v>-0.63109756097560976</v>
      </c>
      <c r="AD18" s="147">
        <v>-0.45630081300813008</v>
      </c>
      <c r="AE18" s="147">
        <v>-0.38211382113821135</v>
      </c>
      <c r="AF18" s="147">
        <v>-0.40752032520325199</v>
      </c>
      <c r="AG18" s="147">
        <v>-0.27743902439024382</v>
      </c>
      <c r="AH18" s="147">
        <v>-0.14329268292682917</v>
      </c>
      <c r="AI18" s="147">
        <v>-0.26829268292682917</v>
      </c>
      <c r="AJ18" s="152">
        <v>-0.55894308943089421</v>
      </c>
    </row>
    <row r="19" spans="2:36" ht="24" customHeight="1">
      <c r="B19" s="47" t="s">
        <v>72</v>
      </c>
      <c r="C19" s="86">
        <v>1</v>
      </c>
      <c r="D19" s="86">
        <v>1</v>
      </c>
      <c r="E19" s="86">
        <v>1</v>
      </c>
      <c r="F19" s="86">
        <v>1</v>
      </c>
      <c r="G19" s="87">
        <v>1</v>
      </c>
      <c r="J19" s="43" t="s">
        <v>82</v>
      </c>
      <c r="K19" s="198" t="s">
        <v>104</v>
      </c>
      <c r="L19" s="45">
        <v>0</v>
      </c>
      <c r="M19" s="147">
        <v>-7.5254237288135517E-2</v>
      </c>
      <c r="N19" s="147">
        <v>2.0338983050847137E-3</v>
      </c>
      <c r="O19" s="147">
        <v>0.21627118644067811</v>
      </c>
      <c r="P19" s="147">
        <v>0.13559322033898313</v>
      </c>
      <c r="Q19" s="147">
        <v>-1.3559322033896981E-3</v>
      </c>
      <c r="R19" s="147">
        <v>-0.13152542372881337</v>
      </c>
      <c r="S19" s="147">
        <v>-0.24406779661016931</v>
      </c>
      <c r="T19" s="147">
        <v>-0.15728813559322019</v>
      </c>
      <c r="U19" s="147">
        <v>-6.847457627118636E-2</v>
      </c>
      <c r="V19" s="147">
        <v>-3.5254237288135482E-2</v>
      </c>
      <c r="W19" s="147">
        <v>6.3050847457627235E-2</v>
      </c>
      <c r="X19" s="147">
        <v>4.067796610169494E-2</v>
      </c>
      <c r="Y19" s="147">
        <v>-8.4067796610169498E-2</v>
      </c>
      <c r="Z19" s="147">
        <v>-0.22033898305084754</v>
      </c>
      <c r="AA19" s="147">
        <v>-0.23186440677966114</v>
      </c>
      <c r="AB19" s="147">
        <v>-0.27864406779661022</v>
      </c>
      <c r="AC19" s="147">
        <v>-0.28000000000000014</v>
      </c>
      <c r="AD19" s="147">
        <v>-0.23796610169491528</v>
      </c>
      <c r="AE19" s="147">
        <v>-9.152542372881356E-2</v>
      </c>
      <c r="AF19" s="147">
        <v>-1.5593220338983027E-2</v>
      </c>
      <c r="AG19" s="147">
        <v>0.18169491525423731</v>
      </c>
      <c r="AH19" s="147">
        <v>0.14711864406779673</v>
      </c>
      <c r="AI19" s="147">
        <v>-2.7118644067796627E-2</v>
      </c>
      <c r="AJ19" s="152">
        <v>-0.28474576271186436</v>
      </c>
    </row>
    <row r="20" spans="2:36" ht="24" customHeight="1">
      <c r="B20" s="63" t="s">
        <v>75</v>
      </c>
      <c r="C20" s="88">
        <v>5</v>
      </c>
      <c r="D20" s="89">
        <v>5</v>
      </c>
      <c r="E20" s="89">
        <v>6</v>
      </c>
      <c r="F20" s="89">
        <v>6</v>
      </c>
      <c r="G20" s="90">
        <v>6</v>
      </c>
      <c r="J20" s="44" t="s">
        <v>83</v>
      </c>
      <c r="K20" s="199" t="s">
        <v>98</v>
      </c>
      <c r="L20" s="46">
        <v>0</v>
      </c>
      <c r="M20" s="147">
        <v>-0.25524044389642409</v>
      </c>
      <c r="N20" s="147">
        <v>-0.32552404438964244</v>
      </c>
      <c r="O20" s="147">
        <v>-0.39210850801479658</v>
      </c>
      <c r="P20" s="147">
        <v>-0.51405672009864367</v>
      </c>
      <c r="Q20" s="147">
        <v>-0.55240443896424174</v>
      </c>
      <c r="R20" s="147">
        <v>-0.34032059186189889</v>
      </c>
      <c r="S20" s="147">
        <v>-0.25030826140567197</v>
      </c>
      <c r="T20" s="147">
        <v>-0.28113440197287287</v>
      </c>
      <c r="U20" s="147">
        <v>-0.12330456226880371</v>
      </c>
      <c r="V20" s="147">
        <v>3.9457459926017568E-2</v>
      </c>
      <c r="W20" s="147">
        <v>-0.11220715166461126</v>
      </c>
      <c r="X20" s="147">
        <v>-0.46485819975339071</v>
      </c>
      <c r="Y20" s="147">
        <v>-0.6325524044389641</v>
      </c>
      <c r="Z20" s="147">
        <v>-0.50431565967940795</v>
      </c>
      <c r="AA20" s="147">
        <v>-0.55610357583230563</v>
      </c>
      <c r="AB20" s="147">
        <v>-0.45992601726263849</v>
      </c>
      <c r="AC20" s="147">
        <v>-0.39580764488286035</v>
      </c>
      <c r="AD20" s="147">
        <v>-0.45561035758323032</v>
      </c>
      <c r="AE20" s="147">
        <v>-0.52404438964241651</v>
      </c>
      <c r="AF20" s="147">
        <v>-0.43773119605425381</v>
      </c>
      <c r="AG20" s="147">
        <v>-0.41923551171393314</v>
      </c>
      <c r="AH20" s="147">
        <v>-0.42786683107274948</v>
      </c>
      <c r="AI20" s="147">
        <v>-0.45252774352651015</v>
      </c>
      <c r="AJ20" s="152">
        <v>-0.56473489519112186</v>
      </c>
    </row>
    <row r="21" spans="2:36" ht="24" customHeight="1">
      <c r="B21" s="47" t="s">
        <v>76</v>
      </c>
      <c r="C21" s="91">
        <v>2</v>
      </c>
      <c r="D21" s="91">
        <v>2</v>
      </c>
      <c r="E21" s="84">
        <v>2</v>
      </c>
      <c r="F21" s="84">
        <v>3</v>
      </c>
      <c r="G21" s="85">
        <v>3</v>
      </c>
      <c r="J21" s="43" t="s">
        <v>83</v>
      </c>
      <c r="K21" s="198" t="s">
        <v>104</v>
      </c>
      <c r="L21" s="45">
        <v>0</v>
      </c>
      <c r="M21" s="147">
        <v>-0.11986970684039089</v>
      </c>
      <c r="N21" s="147">
        <v>-0.250814332247557</v>
      </c>
      <c r="O21" s="147">
        <v>-0.26188925081433223</v>
      </c>
      <c r="P21" s="147">
        <v>-0.30684039087947879</v>
      </c>
      <c r="Q21" s="147">
        <v>-0.30814332247557008</v>
      </c>
      <c r="R21" s="147">
        <v>-0.26775244299674261</v>
      </c>
      <c r="S21" s="147">
        <v>-0.12703583061889245</v>
      </c>
      <c r="T21" s="147">
        <v>-5.4071661237784951E-2</v>
      </c>
      <c r="U21" s="147">
        <v>0.13550488599348531</v>
      </c>
      <c r="V21" s="147">
        <v>0.10228013029315974</v>
      </c>
      <c r="W21" s="147">
        <v>-6.514657980456029E-2</v>
      </c>
      <c r="X21" s="147">
        <v>-0.31270358306188917</v>
      </c>
      <c r="Y21" s="147">
        <v>-0.35179153094462545</v>
      </c>
      <c r="Z21" s="147">
        <v>-0.25667752442996739</v>
      </c>
      <c r="AA21" s="147">
        <v>-0.2690553745928338</v>
      </c>
      <c r="AB21" s="147">
        <v>-0.25146579804560265</v>
      </c>
      <c r="AC21" s="147">
        <v>-0.12899022801302951</v>
      </c>
      <c r="AD21" s="147">
        <v>-0.26775244299674283</v>
      </c>
      <c r="AE21" s="147">
        <v>-0.14462540716612382</v>
      </c>
      <c r="AF21" s="147">
        <v>-8.4690553745928376E-2</v>
      </c>
      <c r="AG21" s="147">
        <v>-1.3029315960914056E-3</v>
      </c>
      <c r="AH21" s="147">
        <v>-0.13355048859934859</v>
      </c>
      <c r="AI21" s="147">
        <v>-0.14853420195439748</v>
      </c>
      <c r="AJ21" s="152">
        <v>-0.30032573289902287</v>
      </c>
    </row>
    <row r="22" spans="2:36" ht="24" customHeight="1">
      <c r="B22" s="64" t="s">
        <v>74</v>
      </c>
      <c r="C22" s="92">
        <v>4</v>
      </c>
      <c r="D22" s="92">
        <v>3</v>
      </c>
      <c r="E22" s="92">
        <v>3</v>
      </c>
      <c r="F22" s="92">
        <v>2</v>
      </c>
      <c r="G22" s="93">
        <v>2</v>
      </c>
      <c r="J22" s="44" t="s">
        <v>84</v>
      </c>
      <c r="K22" s="197" t="s">
        <v>98</v>
      </c>
      <c r="L22" s="42">
        <v>0</v>
      </c>
      <c r="M22" s="147">
        <v>-0.31336405529953915</v>
      </c>
      <c r="N22" s="147">
        <v>-7.373271889400923E-2</v>
      </c>
      <c r="O22" s="147">
        <v>-0.17050691244239624</v>
      </c>
      <c r="P22" s="147">
        <v>9.2165898617511122E-3</v>
      </c>
      <c r="Q22" s="147">
        <v>0.12903225806451624</v>
      </c>
      <c r="R22" s="147">
        <v>1.7281105990783363E-2</v>
      </c>
      <c r="S22" s="147">
        <v>-0.1105990783410139</v>
      </c>
      <c r="T22" s="147">
        <v>5.0691244239631228E-2</v>
      </c>
      <c r="U22" s="147">
        <v>8.5253456221198176E-2</v>
      </c>
      <c r="V22" s="147">
        <v>6.9124423963133452E-2</v>
      </c>
      <c r="W22" s="147">
        <v>2.3041474654377891E-2</v>
      </c>
      <c r="X22" s="147">
        <v>-0.18663594470046097</v>
      </c>
      <c r="Y22" s="147">
        <v>-0.16359447004608307</v>
      </c>
      <c r="Z22" s="147">
        <v>0.39400921658986165</v>
      </c>
      <c r="AJ22" s="41"/>
    </row>
    <row r="23" spans="2:36" ht="24" customHeight="1" thickBot="1">
      <c r="B23" s="65" t="s">
        <v>73</v>
      </c>
      <c r="C23" s="94">
        <v>6</v>
      </c>
      <c r="D23" s="94">
        <v>6</v>
      </c>
      <c r="E23" s="94">
        <v>5</v>
      </c>
      <c r="F23" s="94">
        <v>4</v>
      </c>
      <c r="G23" s="95">
        <v>4</v>
      </c>
      <c r="J23" s="43" t="s">
        <v>84</v>
      </c>
      <c r="K23" s="197" t="s">
        <v>104</v>
      </c>
      <c r="L23" s="42">
        <v>0</v>
      </c>
      <c r="M23" s="147">
        <v>-5.6872037914692086E-2</v>
      </c>
      <c r="N23" s="147">
        <v>8.1516587677725072E-2</v>
      </c>
      <c r="O23" s="147">
        <v>6.3507109004739437E-2</v>
      </c>
      <c r="P23" s="147">
        <v>8.9099526066350743E-2</v>
      </c>
      <c r="Q23" s="147">
        <v>0.26729857819905201</v>
      </c>
      <c r="R23" s="147">
        <v>6.5402843601895633E-2</v>
      </c>
      <c r="S23" s="147">
        <v>0.24454976303317544</v>
      </c>
      <c r="T23" s="147">
        <v>0.33175355450236976</v>
      </c>
      <c r="U23" s="147">
        <v>0.45308056872037894</v>
      </c>
      <c r="V23" s="147">
        <v>0.26066350710900466</v>
      </c>
      <c r="W23" s="147">
        <v>0.23886255924170596</v>
      </c>
      <c r="X23" s="147">
        <v>1.8009478672985635E-2</v>
      </c>
      <c r="Y23" s="147">
        <v>0.10995260663507089</v>
      </c>
      <c r="Z23" s="147">
        <v>0.38767772511848309</v>
      </c>
      <c r="AA23" s="153"/>
      <c r="AB23" s="153"/>
      <c r="AC23" s="153"/>
      <c r="AD23" s="153"/>
      <c r="AE23" s="153"/>
      <c r="AF23" s="153"/>
      <c r="AG23" s="153"/>
      <c r="AH23" s="153"/>
      <c r="AI23" s="153"/>
      <c r="AJ23" s="154"/>
    </row>
    <row r="24" spans="2:36" ht="24" customHeight="1" thickBot="1">
      <c r="J24" s="216" t="s">
        <v>58</v>
      </c>
      <c r="K24" s="217"/>
      <c r="L24" s="40">
        <v>0</v>
      </c>
      <c r="M24" s="39">
        <f>AVERAGE(M16:M23)</f>
        <v>-0.11140306732854512</v>
      </c>
      <c r="N24" s="39">
        <f t="shared" ref="N24:AJ24" si="1">AVERAGE(N16:N23)</f>
        <v>-0.10026899255689523</v>
      </c>
      <c r="O24" s="39">
        <f t="shared" si="1"/>
        <v>-0.13002504181619901</v>
      </c>
      <c r="P24" s="39">
        <f t="shared" si="1"/>
        <v>-7.6576249856666945E-2</v>
      </c>
      <c r="Q24" s="39">
        <f t="shared" si="1"/>
        <v>-0.12212631070645277</v>
      </c>
      <c r="R24" s="39">
        <f t="shared" si="1"/>
        <v>-0.2061480507241622</v>
      </c>
      <c r="S24" s="39">
        <f t="shared" si="1"/>
        <v>-0.15110720956991491</v>
      </c>
      <c r="T24" s="39">
        <f t="shared" si="1"/>
        <v>-9.6385000227254852E-2</v>
      </c>
      <c r="U24" s="39">
        <f t="shared" si="1"/>
        <v>-4.4954100745370179E-2</v>
      </c>
      <c r="V24" s="39">
        <f t="shared" si="1"/>
        <v>-9.2624860660932284E-3</v>
      </c>
      <c r="W24" s="39">
        <f t="shared" si="1"/>
        <v>-2.9193189998819299E-2</v>
      </c>
      <c r="X24" s="39">
        <f t="shared" si="1"/>
        <v>-0.17557667252756834</v>
      </c>
      <c r="Y24" s="39">
        <f t="shared" si="1"/>
        <v>-0.2404044878761803</v>
      </c>
      <c r="Z24" s="39">
        <f t="shared" si="1"/>
        <v>-0.1384372235088161</v>
      </c>
      <c r="AA24" s="39">
        <f t="shared" si="1"/>
        <v>-0.28658451315105404</v>
      </c>
      <c r="AB24" s="39">
        <f t="shared" si="1"/>
        <v>-0.30848164634405922</v>
      </c>
      <c r="AC24" s="39">
        <f t="shared" si="1"/>
        <v>-0.34574857923579022</v>
      </c>
      <c r="AD24" s="39">
        <f t="shared" si="1"/>
        <v>-0.38142124017407042</v>
      </c>
      <c r="AE24" s="39">
        <f t="shared" si="1"/>
        <v>-0.37202408147429405</v>
      </c>
      <c r="AF24" s="39">
        <f t="shared" si="1"/>
        <v>-0.31988965074835868</v>
      </c>
      <c r="AG24" s="39">
        <f t="shared" si="1"/>
        <v>-0.21358323284096201</v>
      </c>
      <c r="AH24" s="39">
        <f t="shared" si="1"/>
        <v>-0.22467217125252645</v>
      </c>
      <c r="AI24" s="39">
        <f t="shared" si="1"/>
        <v>-0.23746034871896016</v>
      </c>
      <c r="AJ24" s="38">
        <f t="shared" si="1"/>
        <v>-0.3586424709132483</v>
      </c>
    </row>
    <row r="25" spans="2:36" ht="30" customHeigh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1.05" hidden="1"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1.05" hidden="1" customHeight="1">
      <c r="J27" s="206" t="s">
        <v>91</v>
      </c>
      <c r="K27" s="207"/>
      <c r="L27" s="158">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52">
        <v>0.15979569178065556</v>
      </c>
    </row>
    <row r="28" spans="2:36" ht="1.05" hidden="1"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0.38842044041457102</v>
      </c>
      <c r="AF28" s="147">
        <v>0.46797880909447076</v>
      </c>
      <c r="AG28" s="147">
        <v>0.43129381818358792</v>
      </c>
      <c r="AH28" s="147">
        <v>0.46996211042729796</v>
      </c>
      <c r="AI28" s="147">
        <v>0.44902672224777396</v>
      </c>
      <c r="AJ28" s="152">
        <v>0.36564289381915693</v>
      </c>
    </row>
    <row r="29" spans="2:36" ht="1.05" hidden="1"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52">
        <v>0.24249812060483178</v>
      </c>
    </row>
    <row r="30" spans="2:36" ht="1.05" hidden="1"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1.05" hidden="1"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0.20531230398190789</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8" spans="10:36" ht="35.25" hidden="1" thickBot="1">
      <c r="J68" s="214" t="s">
        <v>131</v>
      </c>
      <c r="K68" s="21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hidden="1">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hidden="1">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hidden="1">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7.25" hidden="1"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7.25" hidden="1"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J24:K24"/>
    <mergeCell ref="F1:H1"/>
    <mergeCell ref="B2:D3"/>
    <mergeCell ref="J2:K2"/>
    <mergeCell ref="J11:K11"/>
    <mergeCell ref="J15:K15"/>
    <mergeCell ref="J73:K73"/>
    <mergeCell ref="J26:K26"/>
    <mergeCell ref="J27:K27"/>
    <mergeCell ref="J28:K28"/>
    <mergeCell ref="J29:K29"/>
    <mergeCell ref="J30:K30"/>
    <mergeCell ref="J31:K31"/>
    <mergeCell ref="J68:K68"/>
    <mergeCell ref="J69:K69"/>
    <mergeCell ref="J70:K70"/>
    <mergeCell ref="J71:K71"/>
    <mergeCell ref="J72:K72"/>
  </mergeCells>
  <phoneticPr fontId="13" type="noConversion"/>
  <conditionalFormatting sqref="C16:G23">
    <cfRule type="cellIs" dxfId="58" priority="6" operator="between">
      <formula>7</formula>
      <formula>8</formula>
    </cfRule>
    <cfRule type="cellIs" dxfId="57" priority="7" operator="between">
      <formula>1</formula>
      <formula>2</formula>
    </cfRule>
  </conditionalFormatting>
  <conditionalFormatting sqref="F3">
    <cfRule type="cellIs" dxfId="56" priority="2" operator="equal">
      <formula>"GOOD"</formula>
    </cfRule>
    <cfRule type="cellIs" dxfId="55" priority="4" operator="equal">
      <formula>"GOOD"</formula>
    </cfRule>
    <cfRule type="top10" dxfId="54" priority="5" percent="1" rank="10"/>
  </conditionalFormatting>
  <conditionalFormatting sqref="G3">
    <cfRule type="cellIs" dxfId="53" priority="1" operator="equal">
      <formula>"BAD"</formula>
    </cfRule>
    <cfRule type="cellIs" dxfId="52" priority="3" operator="equal">
      <formula>"BAD"</formula>
    </cfRule>
  </conditionalFormatting>
  <pageMargins left="0.7" right="0.7" top="0.75" bottom="0.75" header="0.3" footer="0.3"/>
  <pageSetup paperSize="9" orientation="portrait" horizontalDpi="360" verticalDpi="36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33E90-D216-214E-A126-429196BB5D12}">
  <dimension ref="B1:AJ73"/>
  <sheetViews>
    <sheetView topLeftCell="J63" zoomScale="66" zoomScaleNormal="55" workbookViewId="0">
      <selection activeCell="D36" sqref="D36"/>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B1" s="267" t="s">
        <v>123</v>
      </c>
      <c r="C1" s="267"/>
      <c r="D1" s="267"/>
      <c r="E1" s="267"/>
      <c r="F1" s="218"/>
      <c r="G1" s="219"/>
      <c r="H1" s="219"/>
    </row>
    <row r="2" spans="2:36" ht="24" customHeight="1" thickBot="1">
      <c r="B2" s="267"/>
      <c r="C2" s="267"/>
      <c r="D2" s="267"/>
      <c r="E2" s="267"/>
      <c r="J2" s="226" t="s">
        <v>60</v>
      </c>
      <c r="K2" s="227"/>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c r="B3" s="267"/>
      <c r="C3" s="267"/>
      <c r="D3" s="267"/>
      <c r="E3" s="267"/>
      <c r="F3" s="188" t="s">
        <v>130</v>
      </c>
      <c r="G3" s="189" t="s">
        <v>129</v>
      </c>
      <c r="J3" s="48" t="s">
        <v>81</v>
      </c>
      <c r="K3" s="190" t="s">
        <v>101</v>
      </c>
      <c r="L3" s="42">
        <v>0</v>
      </c>
      <c r="M3" s="147">
        <v>-4.4342507645259932E-2</v>
      </c>
      <c r="N3" s="147">
        <v>-7.9701834862385357E-2</v>
      </c>
      <c r="O3" s="147">
        <v>-0.30358053007135566</v>
      </c>
      <c r="P3" s="147">
        <v>-0.28994648318042804</v>
      </c>
      <c r="Q3" s="147">
        <v>-0.40577217125382259</v>
      </c>
      <c r="R3" s="147">
        <v>-0.55058613659531086</v>
      </c>
      <c r="S3" s="147">
        <v>-0.53784403669724756</v>
      </c>
      <c r="T3" s="147">
        <v>-0.4912716615698266</v>
      </c>
      <c r="U3" s="147">
        <v>-0.58135830784913356</v>
      </c>
      <c r="V3" s="147">
        <v>-0.47024719673802229</v>
      </c>
      <c r="W3" s="147">
        <v>-0.36850152905198763</v>
      </c>
      <c r="X3" s="147">
        <v>-0.43361365953109066</v>
      </c>
      <c r="Y3" s="147">
        <v>-0.36015545361875634</v>
      </c>
      <c r="Z3" s="147">
        <v>-0.39965596330275222</v>
      </c>
      <c r="AA3" s="147">
        <v>-0.22241335372069315</v>
      </c>
      <c r="AB3" s="147">
        <v>-0.2382772680937818</v>
      </c>
      <c r="AC3" s="147">
        <v>-0.45291794087665638</v>
      </c>
      <c r="AD3" s="147">
        <v>-0.52395514780835883</v>
      </c>
      <c r="AE3" s="147">
        <v>-0.58741080530071343</v>
      </c>
      <c r="AF3" s="147">
        <v>-0.57581549439347612</v>
      </c>
      <c r="AG3" s="147">
        <v>-0.48318042813455653</v>
      </c>
      <c r="AH3" s="147">
        <v>-0.50949286442405706</v>
      </c>
      <c r="AI3" s="147">
        <v>-0.54466106014271154</v>
      </c>
      <c r="AJ3" s="152">
        <v>-0.52580275229357787</v>
      </c>
    </row>
    <row r="4" spans="2:36" ht="24" customHeight="1" thickBot="1">
      <c r="J4" s="43" t="s">
        <v>81</v>
      </c>
      <c r="K4" s="191" t="s">
        <v>98</v>
      </c>
      <c r="L4" s="45">
        <v>0</v>
      </c>
      <c r="M4" s="147">
        <v>-6.3548102383053862E-2</v>
      </c>
      <c r="N4" s="147">
        <v>-5.1191526919682206E-2</v>
      </c>
      <c r="O4" s="147">
        <v>-0.17299205648720217</v>
      </c>
      <c r="P4" s="147">
        <v>0.27802294792586069</v>
      </c>
      <c r="Q4" s="147">
        <v>0.13857016769638153</v>
      </c>
      <c r="R4" s="147">
        <v>-0.14386584289496906</v>
      </c>
      <c r="S4" s="147">
        <v>0.15710503089143879</v>
      </c>
      <c r="T4" s="147">
        <v>0.15092674315975296</v>
      </c>
      <c r="U4" s="147">
        <v>-9.3556928508384707E-2</v>
      </c>
      <c r="V4" s="147">
        <v>0.1103265666372466</v>
      </c>
      <c r="W4" s="147">
        <v>3.7952338923213036E-2</v>
      </c>
      <c r="X4" s="147">
        <v>-0.13150926743159719</v>
      </c>
      <c r="Y4" s="147">
        <v>-0.1624007060900261</v>
      </c>
      <c r="Z4" s="147">
        <v>-0.27360988526037033</v>
      </c>
      <c r="AA4" s="147">
        <v>-0.14651368049426261</v>
      </c>
      <c r="AB4" s="147">
        <v>-0.17917034421888745</v>
      </c>
      <c r="AC4" s="147">
        <v>-0.44571932921447455</v>
      </c>
      <c r="AD4" s="147">
        <v>-0.57281553398058227</v>
      </c>
      <c r="AE4" s="147">
        <v>-0.70079435127978806</v>
      </c>
      <c r="AF4" s="147">
        <v>-0.6548984995586935</v>
      </c>
      <c r="AG4" s="147">
        <v>-0.51809355692850811</v>
      </c>
      <c r="AH4" s="147">
        <v>-0.57016769638128828</v>
      </c>
      <c r="AI4" s="147">
        <v>-0.38746690203000833</v>
      </c>
      <c r="AJ4" s="152">
        <v>-0.28420123565754574</v>
      </c>
    </row>
    <row r="5" spans="2:36" ht="24" customHeight="1">
      <c r="B5" s="51"/>
      <c r="C5" s="50">
        <v>2021</v>
      </c>
      <c r="D5" s="50">
        <v>2022</v>
      </c>
      <c r="E5" s="50">
        <v>2023</v>
      </c>
      <c r="F5" s="50">
        <v>2024</v>
      </c>
      <c r="G5" s="49">
        <v>2025</v>
      </c>
      <c r="J5" s="44" t="s">
        <v>82</v>
      </c>
      <c r="K5" s="192" t="s">
        <v>98</v>
      </c>
      <c r="L5" s="46">
        <v>0</v>
      </c>
      <c r="M5" s="147">
        <v>-3.5569105691056868E-2</v>
      </c>
      <c r="N5" s="147">
        <v>-0.16361788617886164</v>
      </c>
      <c r="O5" s="147">
        <v>-1.7276422764227584E-2</v>
      </c>
      <c r="P5" s="147">
        <v>-5.4878048780487743E-2</v>
      </c>
      <c r="Q5" s="147">
        <v>-0.36178861788617878</v>
      </c>
      <c r="R5" s="147">
        <v>-0.50813008130081294</v>
      </c>
      <c r="S5" s="147">
        <v>-0.65548780487804881</v>
      </c>
      <c r="T5" s="147">
        <v>-0.60264227642276413</v>
      </c>
      <c r="U5" s="147">
        <v>-0.44512195121951215</v>
      </c>
      <c r="V5" s="147">
        <v>-0.50508130081300806</v>
      </c>
      <c r="W5" s="147">
        <v>-0.2947154471544714</v>
      </c>
      <c r="X5" s="147">
        <v>-0.17581300813008116</v>
      </c>
      <c r="Y5" s="147">
        <v>-0.38617886178861771</v>
      </c>
      <c r="Z5" s="147">
        <v>-0.44410569105691045</v>
      </c>
      <c r="AA5" s="147">
        <v>-0.4989837398373983</v>
      </c>
      <c r="AB5" s="147">
        <v>-0.59949186991869907</v>
      </c>
      <c r="AC5" s="147">
        <v>-0.63109756097560976</v>
      </c>
      <c r="AD5" s="147">
        <v>-0.45630081300813008</v>
      </c>
      <c r="AE5" s="147">
        <v>-0.38211382113821135</v>
      </c>
      <c r="AF5" s="147">
        <v>-0.40752032520325199</v>
      </c>
      <c r="AG5" s="147">
        <v>-0.27743902439024382</v>
      </c>
      <c r="AH5" s="147">
        <v>-0.14329268292682917</v>
      </c>
      <c r="AI5" s="147">
        <v>-0.26829268292682917</v>
      </c>
      <c r="AJ5" s="152">
        <v>-0.55894308943089421</v>
      </c>
    </row>
    <row r="6" spans="2:36" ht="24" customHeight="1">
      <c r="B6" s="47" t="s">
        <v>69</v>
      </c>
      <c r="C6" s="138">
        <v>13.33</v>
      </c>
      <c r="D6" s="139">
        <v>12.83</v>
      </c>
      <c r="E6" s="139">
        <v>13.15</v>
      </c>
      <c r="F6" s="139">
        <v>13.5</v>
      </c>
      <c r="G6" s="140">
        <v>14.12</v>
      </c>
      <c r="H6" s="1"/>
      <c r="J6" s="43" t="s">
        <v>82</v>
      </c>
      <c r="K6" s="191" t="s">
        <v>101</v>
      </c>
      <c r="L6" s="45">
        <v>0</v>
      </c>
      <c r="M6" s="147">
        <v>0.12969628796400445</v>
      </c>
      <c r="N6" s="147">
        <v>5.9955005624297009E-2</v>
      </c>
      <c r="O6" s="147">
        <v>0.37289088863891995</v>
      </c>
      <c r="P6" s="147">
        <v>0.34488188976377954</v>
      </c>
      <c r="Q6" s="147">
        <v>-3.4083239595050552E-2</v>
      </c>
      <c r="R6" s="147">
        <v>-0.15950506186726654</v>
      </c>
      <c r="S6" s="147">
        <v>-0.27154105736782885</v>
      </c>
      <c r="T6" s="147">
        <v>-0.25106861642294709</v>
      </c>
      <c r="U6" s="147">
        <v>-8.7514060742406974E-2</v>
      </c>
      <c r="V6" s="147">
        <v>-0.13397075365579292</v>
      </c>
      <c r="W6" s="147">
        <v>-0.1960629921259841</v>
      </c>
      <c r="X6" s="147">
        <v>-0.1627671541057365</v>
      </c>
      <c r="Y6" s="147">
        <v>-0.39268841394825627</v>
      </c>
      <c r="Z6" s="147">
        <v>-0.40787401574803139</v>
      </c>
      <c r="AA6" s="147">
        <v>-0.43498312710911136</v>
      </c>
      <c r="AB6" s="147">
        <v>-0.36929133858267715</v>
      </c>
      <c r="AC6" s="147">
        <v>-0.52665916760404952</v>
      </c>
      <c r="AD6" s="147">
        <v>-0.38065241844769404</v>
      </c>
      <c r="AE6" s="147">
        <v>-0.26872890888638923</v>
      </c>
      <c r="AF6" s="147">
        <v>-7.9415073115860602E-2</v>
      </c>
      <c r="AG6" s="147">
        <v>5.8717660292463503E-2</v>
      </c>
      <c r="AH6" s="147">
        <v>0.152193475815523</v>
      </c>
      <c r="AI6" s="147">
        <v>-0.17322834645669305</v>
      </c>
      <c r="AJ6" s="152">
        <v>-0.41901012373453328</v>
      </c>
    </row>
    <row r="7" spans="2:36" ht="24" customHeight="1">
      <c r="B7" s="47" t="s">
        <v>70</v>
      </c>
      <c r="C7" s="141">
        <v>7.98</v>
      </c>
      <c r="D7" s="142">
        <v>11.25</v>
      </c>
      <c r="E7" s="142">
        <v>11.47</v>
      </c>
      <c r="F7" s="142">
        <v>11.99</v>
      </c>
      <c r="G7" s="143">
        <v>12.38</v>
      </c>
      <c r="H7" s="1"/>
      <c r="J7" s="44" t="s">
        <v>83</v>
      </c>
      <c r="K7" s="192" t="s">
        <v>98</v>
      </c>
      <c r="L7" s="46">
        <v>0</v>
      </c>
      <c r="M7" s="147">
        <v>-0.25524044389642409</v>
      </c>
      <c r="N7" s="147">
        <v>-0.32552404438964244</v>
      </c>
      <c r="O7" s="147">
        <v>-0.39210850801479658</v>
      </c>
      <c r="P7" s="147">
        <v>-0.51405672009864367</v>
      </c>
      <c r="Q7" s="147">
        <v>-0.55240443896424174</v>
      </c>
      <c r="R7" s="147">
        <v>-0.34032059186189889</v>
      </c>
      <c r="S7" s="147">
        <v>-0.25030826140567197</v>
      </c>
      <c r="T7" s="147">
        <v>-0.28113440197287287</v>
      </c>
      <c r="U7" s="147">
        <v>-0.12330456226880371</v>
      </c>
      <c r="V7" s="147">
        <v>3.9457459926017568E-2</v>
      </c>
      <c r="W7" s="147">
        <v>-0.11220715166461126</v>
      </c>
      <c r="X7" s="147">
        <v>-0.46485819975339071</v>
      </c>
      <c r="Y7" s="147">
        <v>-0.6325524044389641</v>
      </c>
      <c r="Z7" s="147">
        <v>-0.50431565967940795</v>
      </c>
      <c r="AA7" s="147">
        <v>-0.55610357583230563</v>
      </c>
      <c r="AB7" s="147">
        <v>-0.45992601726263849</v>
      </c>
      <c r="AC7" s="147">
        <v>-0.39580764488286035</v>
      </c>
      <c r="AD7" s="147">
        <v>-0.45561035758323032</v>
      </c>
      <c r="AE7" s="147">
        <v>-0.52404438964241651</v>
      </c>
      <c r="AF7" s="147">
        <v>-0.43773119605425381</v>
      </c>
      <c r="AG7" s="147">
        <v>-0.41923551171393314</v>
      </c>
      <c r="AH7" s="147">
        <v>-0.42786683107274948</v>
      </c>
      <c r="AI7" s="147">
        <v>-0.45252774352651015</v>
      </c>
      <c r="AJ7" s="152">
        <v>-0.56473489519112186</v>
      </c>
    </row>
    <row r="8" spans="2:36" ht="24" customHeight="1">
      <c r="B8" s="47" t="s">
        <v>71</v>
      </c>
      <c r="C8" s="141">
        <v>5.96</v>
      </c>
      <c r="D8" s="142">
        <v>6.9</v>
      </c>
      <c r="E8" s="142">
        <v>6.51</v>
      </c>
      <c r="F8" s="142">
        <v>6.71</v>
      </c>
      <c r="G8" s="143">
        <v>7.41</v>
      </c>
      <c r="J8" s="43" t="s">
        <v>83</v>
      </c>
      <c r="K8" s="191" t="s">
        <v>101</v>
      </c>
      <c r="L8" s="45">
        <v>0</v>
      </c>
      <c r="M8" s="147">
        <v>-0.27462044874378611</v>
      </c>
      <c r="N8" s="147">
        <v>-0.29275829638586592</v>
      </c>
      <c r="O8" s="147">
        <v>-0.32513771328765295</v>
      </c>
      <c r="P8" s="147">
        <v>-0.24667472793228551</v>
      </c>
      <c r="Q8" s="147">
        <v>-0.43463657127502364</v>
      </c>
      <c r="R8" s="147">
        <v>-0.26024452505710072</v>
      </c>
      <c r="S8" s="147">
        <v>-0.12656187021362364</v>
      </c>
      <c r="T8" s="147">
        <v>9.9556630390971179E-2</v>
      </c>
      <c r="U8" s="147">
        <v>0.2645438667204083</v>
      </c>
      <c r="V8" s="147">
        <v>0.37619239553943284</v>
      </c>
      <c r="W8" s="147">
        <v>-1.2494961708988561E-2</v>
      </c>
      <c r="X8" s="147">
        <v>-0.30605938465672455</v>
      </c>
      <c r="Y8" s="147">
        <v>-0.36947467419051472</v>
      </c>
      <c r="Z8" s="147">
        <v>-0.25325809485422557</v>
      </c>
      <c r="AA8" s="147">
        <v>-0.26172242375386279</v>
      </c>
      <c r="AB8" s="147">
        <v>-0.30619373908370295</v>
      </c>
      <c r="AC8" s="147">
        <v>-0.15813516055354049</v>
      </c>
      <c r="AD8" s="147">
        <v>-0.18352814725245215</v>
      </c>
      <c r="AE8" s="147">
        <v>-0.16458417304850226</v>
      </c>
      <c r="AF8" s="147">
        <v>2.1093645035603403E-2</v>
      </c>
      <c r="AG8" s="147">
        <v>0.14564019884455148</v>
      </c>
      <c r="AH8" s="147">
        <v>0.19078328630928332</v>
      </c>
      <c r="AI8" s="147">
        <v>0.37243047158403808</v>
      </c>
      <c r="AJ8" s="152">
        <v>8.8808276232701377E-2</v>
      </c>
    </row>
    <row r="9" spans="2:36" ht="24" customHeight="1">
      <c r="B9" s="47" t="s">
        <v>72</v>
      </c>
      <c r="C9" s="141">
        <v>5.74</v>
      </c>
      <c r="D9" s="142">
        <v>7.33</v>
      </c>
      <c r="E9" s="142">
        <v>8.1199999999999992</v>
      </c>
      <c r="F9" s="142">
        <v>8.56</v>
      </c>
      <c r="G9" s="143">
        <v>8.0399999999999991</v>
      </c>
      <c r="J9" s="44" t="s">
        <v>84</v>
      </c>
      <c r="K9" s="190" t="s">
        <v>98</v>
      </c>
      <c r="L9" s="42">
        <v>0</v>
      </c>
      <c r="M9" s="147">
        <v>-0.31336405529953915</v>
      </c>
      <c r="N9" s="147">
        <v>-7.373271889400923E-2</v>
      </c>
      <c r="O9" s="147">
        <v>-0.17050691244239624</v>
      </c>
      <c r="P9" s="147">
        <v>9.2165898617511122E-3</v>
      </c>
      <c r="Q9" s="147">
        <v>0.12903225806451624</v>
      </c>
      <c r="R9" s="147">
        <v>1.7281105990783363E-2</v>
      </c>
      <c r="S9" s="147">
        <v>-0.1105990783410139</v>
      </c>
      <c r="T9" s="147">
        <v>5.0691244239631228E-2</v>
      </c>
      <c r="U9" s="147">
        <v>8.5253456221198176E-2</v>
      </c>
      <c r="V9" s="147">
        <v>6.9124423963133452E-2</v>
      </c>
      <c r="W9" s="147">
        <v>2.3041474654377891E-2</v>
      </c>
      <c r="X9" s="147">
        <v>-0.18663594470046097</v>
      </c>
      <c r="Y9" s="147">
        <v>-0.16359447004608307</v>
      </c>
      <c r="Z9" s="147">
        <v>0.39400921658986165</v>
      </c>
      <c r="AJ9" s="41"/>
    </row>
    <row r="10" spans="2:36" ht="24" customHeight="1" thickBot="1">
      <c r="B10" s="63" t="s">
        <v>75</v>
      </c>
      <c r="C10" s="141">
        <v>13.05</v>
      </c>
      <c r="D10" s="142">
        <v>14.48</v>
      </c>
      <c r="E10" s="142">
        <v>15.23</v>
      </c>
      <c r="F10" s="142">
        <v>16.105</v>
      </c>
      <c r="G10" s="143">
        <v>15.835000000000001</v>
      </c>
      <c r="J10" s="43" t="s">
        <v>84</v>
      </c>
      <c r="K10" s="190" t="s">
        <v>101</v>
      </c>
      <c r="L10" s="42">
        <v>0</v>
      </c>
      <c r="M10" s="147">
        <v>-9.1384317521781222E-2</v>
      </c>
      <c r="N10" s="147">
        <v>7.6089060987415413E-2</v>
      </c>
      <c r="O10" s="147">
        <v>6.3891577928364196E-2</v>
      </c>
      <c r="P10" s="147">
        <v>-1.9361084220703706E-4</v>
      </c>
      <c r="Q10" s="147">
        <v>0.21316553727008714</v>
      </c>
      <c r="R10" s="147">
        <v>0.17657308809293326</v>
      </c>
      <c r="S10" s="147">
        <v>0.20387221684414314</v>
      </c>
      <c r="T10" s="147">
        <v>0.4714424007744431</v>
      </c>
      <c r="U10" s="147">
        <v>0.65091965150048381</v>
      </c>
      <c r="V10" s="147">
        <v>0.71597289448209067</v>
      </c>
      <c r="W10" s="147">
        <v>0.97773475314617597</v>
      </c>
      <c r="X10" s="147">
        <v>0.56902226524685373</v>
      </c>
      <c r="Y10" s="147">
        <v>0.46447241045498533</v>
      </c>
      <c r="Z10" s="147">
        <v>0.77366892545982546</v>
      </c>
      <c r="AA10" s="153"/>
      <c r="AB10" s="153"/>
      <c r="AC10" s="153"/>
      <c r="AD10" s="153"/>
      <c r="AE10" s="153"/>
      <c r="AF10" s="153"/>
      <c r="AG10" s="153"/>
      <c r="AH10" s="153"/>
      <c r="AI10" s="153"/>
      <c r="AJ10" s="154"/>
    </row>
    <row r="11" spans="2:36" ht="24" customHeight="1" thickBot="1">
      <c r="B11" s="47" t="s">
        <v>76</v>
      </c>
      <c r="C11" s="141">
        <v>11.52</v>
      </c>
      <c r="D11" s="142">
        <v>13.21</v>
      </c>
      <c r="E11" s="142">
        <v>13.82</v>
      </c>
      <c r="F11" s="142">
        <v>14.025</v>
      </c>
      <c r="G11" s="143">
        <v>14.31</v>
      </c>
      <c r="J11" s="216" t="s">
        <v>58</v>
      </c>
      <c r="K11" s="217"/>
      <c r="L11" s="40">
        <v>0</v>
      </c>
      <c r="M11" s="39">
        <f t="shared" ref="M11:AJ11" si="0">AVERAGE(M3:M10)</f>
        <v>-0.1185465866521121</v>
      </c>
      <c r="N11" s="39">
        <f t="shared" si="0"/>
        <v>-0.1063102801273418</v>
      </c>
      <c r="O11" s="39">
        <f t="shared" si="0"/>
        <v>-0.11810245956254339</v>
      </c>
      <c r="P11" s="39">
        <f t="shared" si="0"/>
        <v>-5.9203520410332583E-2</v>
      </c>
      <c r="Q11" s="39">
        <f t="shared" si="0"/>
        <v>-0.16348963449291656</v>
      </c>
      <c r="R11" s="39">
        <f t="shared" si="0"/>
        <v>-0.22109975568670526</v>
      </c>
      <c r="S11" s="39">
        <f t="shared" si="0"/>
        <v>-0.19892060764598157</v>
      </c>
      <c r="T11" s="39">
        <f t="shared" si="0"/>
        <v>-0.10668749222795154</v>
      </c>
      <c r="U11" s="39">
        <f t="shared" si="0"/>
        <v>-4.1267354518268851E-2</v>
      </c>
      <c r="V11" s="39">
        <f t="shared" si="0"/>
        <v>2.5221811167637234E-2</v>
      </c>
      <c r="W11" s="39">
        <f t="shared" si="0"/>
        <v>6.8433106272154931E-3</v>
      </c>
      <c r="X11" s="39">
        <f t="shared" si="0"/>
        <v>-0.1615292941327785</v>
      </c>
      <c r="Y11" s="39">
        <f t="shared" si="0"/>
        <v>-0.25032157170827912</v>
      </c>
      <c r="Z11" s="39">
        <f t="shared" si="0"/>
        <v>-0.13939264598150136</v>
      </c>
      <c r="AA11" s="39">
        <f t="shared" si="0"/>
        <v>-0.35345331679127234</v>
      </c>
      <c r="AB11" s="39">
        <f t="shared" si="0"/>
        <v>-0.35872509619339782</v>
      </c>
      <c r="AC11" s="39">
        <f t="shared" si="0"/>
        <v>-0.43505613401786519</v>
      </c>
      <c r="AD11" s="39">
        <f t="shared" si="0"/>
        <v>-0.42881040301340789</v>
      </c>
      <c r="AE11" s="39">
        <f t="shared" si="0"/>
        <v>-0.43794607488267018</v>
      </c>
      <c r="AF11" s="39">
        <f t="shared" si="0"/>
        <v>-0.3557144905483221</v>
      </c>
      <c r="AG11" s="39">
        <f t="shared" si="0"/>
        <v>-0.24893177700503777</v>
      </c>
      <c r="AH11" s="39">
        <f t="shared" si="0"/>
        <v>-0.21797388544668628</v>
      </c>
      <c r="AI11" s="39">
        <f t="shared" si="0"/>
        <v>-0.24229104391645237</v>
      </c>
      <c r="AJ11" s="38">
        <f t="shared" si="0"/>
        <v>-0.37731397001249523</v>
      </c>
    </row>
    <row r="12" spans="2:36" ht="24" customHeight="1">
      <c r="B12" s="64" t="s">
        <v>74</v>
      </c>
      <c r="C12" s="141">
        <v>13.24</v>
      </c>
      <c r="D12" s="142">
        <v>12.85</v>
      </c>
      <c r="E12" s="142">
        <v>12.15</v>
      </c>
      <c r="F12" s="142">
        <v>12.35</v>
      </c>
      <c r="G12" s="143">
        <v>12.42</v>
      </c>
    </row>
    <row r="13" spans="2:36" ht="24" customHeight="1" thickBot="1">
      <c r="B13" s="65" t="s">
        <v>73</v>
      </c>
      <c r="C13" s="144">
        <v>14.12</v>
      </c>
      <c r="D13" s="145">
        <v>13.5</v>
      </c>
      <c r="E13" s="145">
        <v>13.25</v>
      </c>
      <c r="F13" s="145">
        <v>13.38</v>
      </c>
      <c r="G13" s="146">
        <v>13.45</v>
      </c>
    </row>
    <row r="14" spans="2:36" ht="24" customHeight="1" thickBot="1"/>
    <row r="15" spans="2:36" ht="24" customHeight="1" thickBot="1">
      <c r="B15" s="51"/>
      <c r="C15" s="50">
        <v>2021</v>
      </c>
      <c r="D15" s="50">
        <v>2022</v>
      </c>
      <c r="E15" s="50">
        <v>2023</v>
      </c>
      <c r="F15" s="50">
        <v>2024</v>
      </c>
      <c r="G15" s="49">
        <v>2025</v>
      </c>
      <c r="J15" s="228" t="s">
        <v>59</v>
      </c>
      <c r="K15" s="229"/>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7</v>
      </c>
      <c r="D16" s="84">
        <v>4</v>
      </c>
      <c r="E16" s="84">
        <v>5</v>
      </c>
      <c r="F16" s="84">
        <v>6</v>
      </c>
      <c r="G16" s="85">
        <v>6</v>
      </c>
      <c r="J16" s="48" t="s">
        <v>81</v>
      </c>
      <c r="K16" s="197" t="s">
        <v>104</v>
      </c>
      <c r="L16" s="42">
        <v>0</v>
      </c>
      <c r="M16" s="147">
        <v>2.8493150684931523E-2</v>
      </c>
      <c r="N16" s="147">
        <v>-2.082191780821907E-2</v>
      </c>
      <c r="O16" s="147">
        <v>-0.30520547945205467</v>
      </c>
      <c r="P16" s="147">
        <v>-0.24876712328767103</v>
      </c>
      <c r="Q16" s="147">
        <v>-0.28821917808219166</v>
      </c>
      <c r="R16" s="147">
        <v>-0.34027397260273973</v>
      </c>
      <c r="S16" s="147">
        <v>-0.22301369863013698</v>
      </c>
      <c r="T16" s="147">
        <v>-0.20931506849315062</v>
      </c>
      <c r="U16" s="147">
        <v>-0.30301369863013694</v>
      </c>
      <c r="V16" s="147">
        <v>-0.11561643835616431</v>
      </c>
      <c r="W16" s="147">
        <v>-0.12438356164383557</v>
      </c>
      <c r="X16" s="147">
        <v>-0.19178082191780821</v>
      </c>
      <c r="Y16" s="147">
        <v>-0.25260273972602731</v>
      </c>
      <c r="Z16" s="147">
        <v>-0.19013698630136988</v>
      </c>
      <c r="AA16" s="147">
        <v>-1.69863013698629E-2</v>
      </c>
      <c r="AB16" s="147">
        <v>-8.2191780821917693E-2</v>
      </c>
      <c r="AC16" s="147">
        <v>-0.19287671232876702</v>
      </c>
      <c r="AD16" s="147">
        <v>-0.29808219178082185</v>
      </c>
      <c r="AE16" s="147">
        <v>-0.38904109589041092</v>
      </c>
      <c r="AF16" s="147">
        <v>-0.31890410958904114</v>
      </c>
      <c r="AG16" s="147">
        <v>-0.24712328767123293</v>
      </c>
      <c r="AH16" s="147">
        <v>-0.22027397260273973</v>
      </c>
      <c r="AI16" s="147">
        <v>-0.14082191780821918</v>
      </c>
      <c r="AJ16" s="152">
        <v>-0.15890410958904111</v>
      </c>
    </row>
    <row r="17" spans="2:36" ht="24" customHeight="1">
      <c r="B17" s="47" t="s">
        <v>70</v>
      </c>
      <c r="C17" s="84">
        <v>3</v>
      </c>
      <c r="D17" s="84">
        <v>3</v>
      </c>
      <c r="E17" s="84">
        <v>3</v>
      </c>
      <c r="F17" s="84">
        <v>3</v>
      </c>
      <c r="G17" s="85">
        <v>3</v>
      </c>
      <c r="J17" s="43" t="s">
        <v>81</v>
      </c>
      <c r="K17" s="198" t="s">
        <v>102</v>
      </c>
      <c r="L17" s="45">
        <v>0</v>
      </c>
      <c r="M17" s="147">
        <v>8.7490206320188113E-2</v>
      </c>
      <c r="N17" s="147">
        <v>5.3538782972055499E-2</v>
      </c>
      <c r="O17" s="147">
        <v>-0.26795507965526244</v>
      </c>
      <c r="P17" s="147">
        <v>-0.19639592582919829</v>
      </c>
      <c r="Q17" s="147">
        <v>-0.2149386262731785</v>
      </c>
      <c r="R17" s="147">
        <v>-0.29093758161399852</v>
      </c>
      <c r="S17" s="147">
        <v>-0.14259597806215729</v>
      </c>
      <c r="T17" s="147">
        <v>-0.10603290676416832</v>
      </c>
      <c r="U17" s="147">
        <v>-0.16949595194567779</v>
      </c>
      <c r="V17" s="147">
        <v>-1.2013580569339322E-2</v>
      </c>
      <c r="W17" s="147">
        <v>-3.1078610603290646E-2</v>
      </c>
      <c r="X17" s="147">
        <v>-0.1175241577435362</v>
      </c>
      <c r="Y17" s="147">
        <v>-0.1329328806476886</v>
      </c>
      <c r="Z17" s="147">
        <v>-8.2005745625489679E-2</v>
      </c>
      <c r="AA17" s="147">
        <v>0.2013580569339255</v>
      </c>
      <c r="AB17" s="147">
        <v>0.16897362235570657</v>
      </c>
      <c r="AC17" s="147">
        <v>8.5923217550274211E-2</v>
      </c>
      <c r="AD17" s="147">
        <v>-6.2940715591538243E-2</v>
      </c>
      <c r="AE17" s="147">
        <v>-0.20867067119352312</v>
      </c>
      <c r="AF17" s="147">
        <v>-6.2157221206581403E-2</v>
      </c>
      <c r="AG17" s="147">
        <v>2.1676677983807568E-2</v>
      </c>
      <c r="AH17" s="147">
        <v>-6.0067902846696608E-3</v>
      </c>
      <c r="AI17" s="147">
        <v>7.3387307390963663E-2</v>
      </c>
      <c r="AJ17" s="152">
        <v>0.21859493340297709</v>
      </c>
    </row>
    <row r="18" spans="2:36" ht="24" customHeight="1">
      <c r="B18" s="47" t="s">
        <v>71</v>
      </c>
      <c r="C18" s="86">
        <v>2</v>
      </c>
      <c r="D18" s="86">
        <v>1</v>
      </c>
      <c r="E18" s="86">
        <v>1</v>
      </c>
      <c r="F18" s="86">
        <v>1</v>
      </c>
      <c r="G18" s="87">
        <v>1</v>
      </c>
      <c r="J18" s="44" t="s">
        <v>82</v>
      </c>
      <c r="K18" s="199" t="s">
        <v>102</v>
      </c>
      <c r="L18" s="46">
        <v>0</v>
      </c>
      <c r="M18" s="147">
        <v>-1.7460787215152318E-2</v>
      </c>
      <c r="N18" s="147">
        <v>4.0248594258656345E-2</v>
      </c>
      <c r="O18" s="147">
        <v>0.36134951168984908</v>
      </c>
      <c r="P18" s="147">
        <v>0.32465226398342706</v>
      </c>
      <c r="Q18" s="147">
        <v>0.23054158034921568</v>
      </c>
      <c r="R18" s="147">
        <v>6.1852619118082375E-2</v>
      </c>
      <c r="S18" s="147">
        <v>-0.10328499556081672</v>
      </c>
      <c r="T18" s="147">
        <v>6.2740455756140845E-2</v>
      </c>
      <c r="U18" s="147">
        <v>0.15773897602841069</v>
      </c>
      <c r="V18" s="147">
        <v>0.12636874815034038</v>
      </c>
      <c r="W18" s="147">
        <v>0.21633619414027816</v>
      </c>
      <c r="X18" s="147">
        <v>0.38088191772713809</v>
      </c>
      <c r="Y18" s="147">
        <v>0.44421426457531821</v>
      </c>
      <c r="Z18" s="147">
        <v>0.47173720035513478</v>
      </c>
      <c r="AA18" s="147">
        <v>0.3711157147084938</v>
      </c>
      <c r="AB18" s="147">
        <v>0.24326723882805568</v>
      </c>
      <c r="AC18" s="147">
        <v>0.23231725362533306</v>
      </c>
      <c r="AD18" s="147">
        <v>0.47292098253921311</v>
      </c>
      <c r="AE18" s="147">
        <v>0.65936667653151848</v>
      </c>
      <c r="AF18" s="147">
        <v>0.85646641018052705</v>
      </c>
      <c r="AG18" s="147">
        <v>0.75969221663214026</v>
      </c>
      <c r="AH18" s="147">
        <v>0.95679195028114905</v>
      </c>
      <c r="AI18" s="147">
        <v>0.74874223142941765</v>
      </c>
      <c r="AJ18" s="152">
        <v>0.27138206569991175</v>
      </c>
    </row>
    <row r="19" spans="2:36" ht="24" customHeight="1">
      <c r="B19" s="47" t="s">
        <v>72</v>
      </c>
      <c r="C19" s="86">
        <v>1</v>
      </c>
      <c r="D19" s="86">
        <v>2</v>
      </c>
      <c r="E19" s="86">
        <v>2</v>
      </c>
      <c r="F19" s="86">
        <v>2</v>
      </c>
      <c r="G19" s="87">
        <v>2</v>
      </c>
      <c r="J19" s="43" t="s">
        <v>82</v>
      </c>
      <c r="K19" s="198" t="s">
        <v>97</v>
      </c>
      <c r="L19" s="45">
        <v>0</v>
      </c>
      <c r="M19" s="147">
        <v>-1.9230769230769273E-2</v>
      </c>
      <c r="N19" s="147">
        <v>-6.1813186813186816E-2</v>
      </c>
      <c r="O19" s="147">
        <v>0.21703296703296693</v>
      </c>
      <c r="P19" s="147">
        <v>6.7307692307692291E-2</v>
      </c>
      <c r="Q19" s="147">
        <v>-0.1868131868131867</v>
      </c>
      <c r="R19" s="147">
        <v>-0.36813186813186805</v>
      </c>
      <c r="S19" s="147">
        <v>-0.48351648351648346</v>
      </c>
      <c r="T19" s="147">
        <v>-0.39285714285714279</v>
      </c>
      <c r="U19" s="147">
        <v>-0.23763736263736257</v>
      </c>
      <c r="V19" s="147">
        <v>-0.27060439560439553</v>
      </c>
      <c r="W19" s="147">
        <v>-0.10989010989010972</v>
      </c>
      <c r="X19" s="147">
        <v>1.9230769230769384E-2</v>
      </c>
      <c r="Y19" s="147">
        <v>-0.21978021978021967</v>
      </c>
      <c r="Z19" s="147">
        <v>-0.23214285714285698</v>
      </c>
      <c r="AA19" s="147">
        <v>-0.16346153846153832</v>
      </c>
      <c r="AB19" s="147">
        <v>-0.11950549450549419</v>
      </c>
      <c r="AC19" s="147">
        <v>-0.30219780219780201</v>
      </c>
      <c r="AD19" s="147">
        <v>-9.8901098901098661E-2</v>
      </c>
      <c r="AE19" s="147">
        <v>-0.21703296703296671</v>
      </c>
      <c r="AF19" s="147">
        <v>-0.17994505494505464</v>
      </c>
      <c r="AG19" s="147">
        <v>7.9670329670330275E-2</v>
      </c>
      <c r="AH19" s="147">
        <v>-9.6153846153845701E-2</v>
      </c>
      <c r="AI19" s="147">
        <v>-0.10439560439560402</v>
      </c>
      <c r="AJ19" s="152">
        <v>-0.3379120879120876</v>
      </c>
    </row>
    <row r="20" spans="2:36" ht="24" customHeight="1">
      <c r="B20" s="63" t="s">
        <v>75</v>
      </c>
      <c r="C20" s="88">
        <v>5</v>
      </c>
      <c r="D20" s="89">
        <v>8</v>
      </c>
      <c r="E20" s="89">
        <v>8</v>
      </c>
      <c r="F20" s="89">
        <v>8</v>
      </c>
      <c r="G20" s="90">
        <v>8</v>
      </c>
      <c r="J20" s="44" t="s">
        <v>83</v>
      </c>
      <c r="K20" s="199" t="s">
        <v>115</v>
      </c>
      <c r="L20" s="46">
        <v>0</v>
      </c>
      <c r="M20" s="147">
        <v>6.9783670621070826E-4</v>
      </c>
      <c r="N20" s="147">
        <v>-2.2563386834147492E-2</v>
      </c>
      <c r="O20" s="147">
        <v>-6.0246568969527847E-2</v>
      </c>
      <c r="P20" s="147">
        <v>-0.1270062805303559</v>
      </c>
      <c r="Q20" s="147">
        <v>-0.16003721795766457</v>
      </c>
      <c r="R20" s="147">
        <v>5.1639916259595298E-2</v>
      </c>
      <c r="S20" s="147">
        <v>0.11444521981856237</v>
      </c>
      <c r="T20" s="147">
        <v>0.22354035822284257</v>
      </c>
      <c r="U20" s="147">
        <v>0.50616422423819496</v>
      </c>
      <c r="V20" s="147">
        <v>0.70388462433123977</v>
      </c>
      <c r="W20" s="147">
        <v>0.68132123749709228</v>
      </c>
      <c r="X20" s="147">
        <v>0.14491742265643159</v>
      </c>
      <c r="Y20" s="147">
        <v>2.9774366131658514E-2</v>
      </c>
      <c r="Z20" s="147">
        <v>0.18469411491044418</v>
      </c>
      <c r="AA20" s="147">
        <v>0.15096534077692469</v>
      </c>
      <c r="AB20" s="147">
        <v>0.23191439869737152</v>
      </c>
      <c r="AC20" s="147">
        <v>0.46033961386368927</v>
      </c>
      <c r="AD20" s="147">
        <v>0.15794370783903244</v>
      </c>
      <c r="AE20" s="147">
        <v>-2.9309141660851412E-2</v>
      </c>
      <c r="AF20" s="147">
        <v>-3.0239590602464395E-3</v>
      </c>
      <c r="AG20" s="147">
        <v>0.17003954408001865</v>
      </c>
      <c r="AH20" s="147">
        <v>0.18236799255640834</v>
      </c>
      <c r="AI20" s="147">
        <v>0.20027913468248437</v>
      </c>
      <c r="AJ20" s="152">
        <v>-0.14445219818562449</v>
      </c>
    </row>
    <row r="21" spans="2:36" ht="24" customHeight="1">
      <c r="B21" s="47" t="s">
        <v>76</v>
      </c>
      <c r="C21" s="91">
        <v>4</v>
      </c>
      <c r="D21" s="91">
        <v>6</v>
      </c>
      <c r="E21" s="84">
        <v>7</v>
      </c>
      <c r="F21" s="84">
        <v>7</v>
      </c>
      <c r="G21" s="85">
        <v>7</v>
      </c>
      <c r="J21" s="43" t="s">
        <v>83</v>
      </c>
      <c r="K21" s="198" t="s">
        <v>97</v>
      </c>
      <c r="L21" s="45">
        <v>0</v>
      </c>
      <c r="M21" s="147">
        <v>-0.23450134770889486</v>
      </c>
      <c r="N21" s="147">
        <v>-0.24663072776280315</v>
      </c>
      <c r="O21" s="147">
        <v>-0.17924528301886788</v>
      </c>
      <c r="P21" s="147">
        <v>-0.1361185983827492</v>
      </c>
      <c r="Q21" s="147">
        <v>-0.3153638814016172</v>
      </c>
      <c r="R21" s="147">
        <v>-0.11590296495956875</v>
      </c>
      <c r="S21" s="147">
        <v>-0.2318059299191374</v>
      </c>
      <c r="T21" s="147">
        <v>-0.19541778975741242</v>
      </c>
      <c r="U21" s="147">
        <v>5.9299191374663218E-2</v>
      </c>
      <c r="V21" s="147">
        <v>-0.11320754716981118</v>
      </c>
      <c r="W21" s="147">
        <v>-0.12129380053908345</v>
      </c>
      <c r="X21" s="147">
        <v>-0.3504043126684635</v>
      </c>
      <c r="Y21" s="147">
        <v>-0.41239892183288396</v>
      </c>
      <c r="Z21" s="147">
        <v>-0.31940700808625333</v>
      </c>
      <c r="AA21" s="147">
        <v>-0.42991913746630717</v>
      </c>
      <c r="AB21" s="147">
        <v>-0.40161725067385434</v>
      </c>
      <c r="AC21" s="147">
        <v>-0.27897574123989222</v>
      </c>
      <c r="AD21" s="147">
        <v>-0.33692722371967654</v>
      </c>
      <c r="AE21" s="147">
        <v>-0.4339622641509433</v>
      </c>
      <c r="AF21" s="147">
        <v>-0.38409703504043113</v>
      </c>
      <c r="AG21" s="147">
        <v>-0.38679245283018859</v>
      </c>
      <c r="AH21" s="147">
        <v>-0.34366576819407002</v>
      </c>
      <c r="AI21" s="147">
        <v>-0.25336927223719674</v>
      </c>
      <c r="AJ21" s="152">
        <v>-0.4043126684636118</v>
      </c>
    </row>
    <row r="22" spans="2:36" ht="24" customHeight="1">
      <c r="B22" s="64" t="s">
        <v>74</v>
      </c>
      <c r="C22" s="92">
        <v>6</v>
      </c>
      <c r="D22" s="92">
        <v>5</v>
      </c>
      <c r="E22" s="92">
        <v>4</v>
      </c>
      <c r="F22" s="92">
        <v>4</v>
      </c>
      <c r="G22" s="93">
        <v>4</v>
      </c>
      <c r="J22" s="44" t="s">
        <v>84</v>
      </c>
      <c r="K22" s="197" t="s">
        <v>115</v>
      </c>
      <c r="L22" s="42">
        <v>0</v>
      </c>
      <c r="M22" s="147">
        <v>-0.10056887444128393</v>
      </c>
      <c r="N22" s="147">
        <v>3.474197480698904E-2</v>
      </c>
      <c r="O22" s="147">
        <v>5.2824055262088443E-3</v>
      </c>
      <c r="P22" s="147">
        <v>7.5985371800081358E-2</v>
      </c>
      <c r="Q22" s="147">
        <v>0.27549776513612367</v>
      </c>
      <c r="R22" s="147">
        <v>1.1377488825680793E-2</v>
      </c>
      <c r="S22" s="147">
        <v>-0.15217391304347827</v>
      </c>
      <c r="T22" s="147">
        <v>-0.12921576594880113</v>
      </c>
      <c r="U22" s="147">
        <v>2.1942299878098481E-2</v>
      </c>
      <c r="V22" s="147">
        <v>3.2710280373831946E-2</v>
      </c>
      <c r="W22" s="147">
        <v>4.8354327509142925E-2</v>
      </c>
      <c r="X22" s="147">
        <v>-0.25274278748476209</v>
      </c>
      <c r="Y22" s="147">
        <v>-0.20540430719219804</v>
      </c>
      <c r="Z22" s="147">
        <v>-6.5014221861031785E-2</v>
      </c>
      <c r="AJ22" s="41"/>
    </row>
    <row r="23" spans="2:36" ht="24" customHeight="1" thickBot="1">
      <c r="B23" s="65" t="s">
        <v>73</v>
      </c>
      <c r="C23" s="94">
        <v>8</v>
      </c>
      <c r="D23" s="94">
        <v>7</v>
      </c>
      <c r="E23" s="94">
        <v>6</v>
      </c>
      <c r="F23" s="94">
        <v>5</v>
      </c>
      <c r="G23" s="95">
        <v>5</v>
      </c>
      <c r="J23" s="43" t="s">
        <v>84</v>
      </c>
      <c r="K23" s="197" t="s">
        <v>97</v>
      </c>
      <c r="L23" s="42">
        <v>0</v>
      </c>
      <c r="M23" s="147">
        <v>-9.5435684647302899E-2</v>
      </c>
      <c r="N23" s="147">
        <v>4.7717842323651283E-2</v>
      </c>
      <c r="O23" s="147">
        <v>-0.12240663900414939</v>
      </c>
      <c r="P23" s="147">
        <v>-7.8838174273858974E-2</v>
      </c>
      <c r="Q23" s="147">
        <v>0.10995850622406622</v>
      </c>
      <c r="R23" s="147">
        <v>2.0746887966804906E-2</v>
      </c>
      <c r="S23" s="147">
        <v>-0.12863070539419086</v>
      </c>
      <c r="T23" s="147">
        <v>-5.1867219917012375E-2</v>
      </c>
      <c r="U23" s="147">
        <v>-5.6016597510373467E-2</v>
      </c>
      <c r="V23" s="147">
        <v>1.0373443983402453E-2</v>
      </c>
      <c r="W23" s="147">
        <v>0.14937759336099576</v>
      </c>
      <c r="X23" s="147">
        <v>-8.2987551867219955E-2</v>
      </c>
      <c r="Y23" s="147">
        <v>-3.319502074688796E-2</v>
      </c>
      <c r="Z23" s="147">
        <v>0.13278008298755184</v>
      </c>
      <c r="AA23" s="153"/>
      <c r="AB23" s="153"/>
      <c r="AC23" s="153"/>
      <c r="AD23" s="153"/>
      <c r="AE23" s="153"/>
      <c r="AF23" s="153"/>
      <c r="AG23" s="153"/>
      <c r="AH23" s="153"/>
      <c r="AI23" s="153"/>
      <c r="AJ23" s="154"/>
    </row>
    <row r="24" spans="2:36" ht="24" customHeight="1" thickBot="1">
      <c r="J24" s="216" t="s">
        <v>58</v>
      </c>
      <c r="K24" s="217"/>
      <c r="L24" s="40">
        <v>0</v>
      </c>
      <c r="M24" s="39">
        <f>AVERAGE(M16:M23)</f>
        <v>-4.3814533691509117E-2</v>
      </c>
      <c r="N24" s="39">
        <f t="shared" ref="N24:AJ24" si="1">AVERAGE(N16:N23)</f>
        <v>-2.1947753107125545E-2</v>
      </c>
      <c r="O24" s="39">
        <f t="shared" si="1"/>
        <v>-4.3924270731354673E-2</v>
      </c>
      <c r="P24" s="39">
        <f t="shared" si="1"/>
        <v>-3.9897596776579086E-2</v>
      </c>
      <c r="Q24" s="39">
        <f t="shared" si="1"/>
        <v>-6.8671779852304132E-2</v>
      </c>
      <c r="R24" s="39">
        <f t="shared" si="1"/>
        <v>-0.12120368439225146</v>
      </c>
      <c r="S24" s="39">
        <f t="shared" si="1"/>
        <v>-0.16882206053847984</v>
      </c>
      <c r="T24" s="39">
        <f t="shared" si="1"/>
        <v>-9.9803134969838031E-2</v>
      </c>
      <c r="U24" s="39">
        <f t="shared" si="1"/>
        <v>-2.6273649005229271E-3</v>
      </c>
      <c r="V24" s="39">
        <f t="shared" si="1"/>
        <v>4.5236891892388026E-2</v>
      </c>
      <c r="W24" s="39">
        <f t="shared" si="1"/>
        <v>8.8592908728898717E-2</v>
      </c>
      <c r="X24" s="39">
        <f t="shared" si="1"/>
        <v>-5.6301190258431361E-2</v>
      </c>
      <c r="Y24" s="39">
        <f t="shared" si="1"/>
        <v>-9.7790682402366103E-2</v>
      </c>
      <c r="Z24" s="39">
        <f t="shared" si="1"/>
        <v>-1.2436927595483857E-2</v>
      </c>
      <c r="AA24" s="39">
        <f t="shared" si="1"/>
        <v>1.8845355853605934E-2</v>
      </c>
      <c r="AB24" s="39">
        <f t="shared" si="1"/>
        <v>6.806788979977922E-3</v>
      </c>
      <c r="AC24" s="39">
        <f t="shared" si="1"/>
        <v>7.5497154547254919E-4</v>
      </c>
      <c r="AD24" s="39">
        <f t="shared" si="1"/>
        <v>-2.7664423269148291E-2</v>
      </c>
      <c r="AE24" s="39">
        <f t="shared" si="1"/>
        <v>-0.10310824389952949</v>
      </c>
      <c r="AF24" s="39">
        <f t="shared" si="1"/>
        <v>-1.5276828276804618E-2</v>
      </c>
      <c r="AG24" s="39">
        <f t="shared" si="1"/>
        <v>6.61938379774792E-2</v>
      </c>
      <c r="AH24" s="39">
        <f t="shared" si="1"/>
        <v>7.8843260933705375E-2</v>
      </c>
      <c r="AI24" s="39">
        <f t="shared" si="1"/>
        <v>8.7303646510307628E-2</v>
      </c>
      <c r="AJ24" s="38">
        <f t="shared" si="1"/>
        <v>-9.260067750791269E-2</v>
      </c>
    </row>
    <row r="25" spans="2:36" ht="15" customHeigh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1.05" hidden="1"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1.05" hidden="1" customHeight="1">
      <c r="J27" s="206" t="s">
        <v>91</v>
      </c>
      <c r="K27" s="207"/>
      <c r="L27" s="158">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52">
        <v>0.15979569178065556</v>
      </c>
    </row>
    <row r="28" spans="2:36" ht="1.05" hidden="1"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0.38842044041457102</v>
      </c>
      <c r="AF28" s="147">
        <v>0.46797880909447076</v>
      </c>
      <c r="AG28" s="147">
        <v>0.43129381818358792</v>
      </c>
      <c r="AH28" s="147">
        <v>0.46996211042729796</v>
      </c>
      <c r="AI28" s="147">
        <v>0.44902672224777396</v>
      </c>
      <c r="AJ28" s="152">
        <v>0.36564289381915693</v>
      </c>
    </row>
    <row r="29" spans="2:36" ht="1.05" hidden="1"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52">
        <v>0.24249812060483178</v>
      </c>
    </row>
    <row r="30" spans="2:36" ht="1.05" hidden="1"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30" hidden="1"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0.20531230398190789</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8" spans="10:36" ht="35.25" hidden="1" thickBot="1">
      <c r="J68" s="214" t="s">
        <v>131</v>
      </c>
      <c r="K68" s="21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hidden="1">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hidden="1">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hidden="1">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7.25" hidden="1"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7.25" hidden="1"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J72:K72"/>
    <mergeCell ref="J73:K73"/>
    <mergeCell ref="J26:K26"/>
    <mergeCell ref="J27:K27"/>
    <mergeCell ref="J28:K28"/>
    <mergeCell ref="J29:K29"/>
    <mergeCell ref="J30:K30"/>
    <mergeCell ref="J31:K31"/>
    <mergeCell ref="B1:E3"/>
    <mergeCell ref="J68:K68"/>
    <mergeCell ref="J69:K69"/>
    <mergeCell ref="J70:K70"/>
    <mergeCell ref="J71:K71"/>
    <mergeCell ref="F1:H1"/>
    <mergeCell ref="J2:K2"/>
    <mergeCell ref="J11:K11"/>
    <mergeCell ref="J15:K15"/>
    <mergeCell ref="J24:K24"/>
  </mergeCells>
  <phoneticPr fontId="13" type="noConversion"/>
  <conditionalFormatting sqref="C16:G23">
    <cfRule type="cellIs" dxfId="51" priority="6" operator="between">
      <formula>7</formula>
      <formula>8</formula>
    </cfRule>
    <cfRule type="cellIs" dxfId="50" priority="7" operator="between">
      <formula>1</formula>
      <formula>2</formula>
    </cfRule>
  </conditionalFormatting>
  <conditionalFormatting sqref="F3">
    <cfRule type="cellIs" dxfId="49" priority="2" operator="equal">
      <formula>"GOOD"</formula>
    </cfRule>
    <cfRule type="cellIs" dxfId="48" priority="4" operator="equal">
      <formula>"GOOD"</formula>
    </cfRule>
    <cfRule type="top10" dxfId="47" priority="5" percent="1" rank="10"/>
  </conditionalFormatting>
  <conditionalFormatting sqref="G3">
    <cfRule type="cellIs" dxfId="46" priority="1" operator="equal">
      <formula>"BAD"</formula>
    </cfRule>
    <cfRule type="cellIs" dxfId="45" priority="3" operator="equal">
      <formula>"BAD"</formula>
    </cfRule>
  </conditionalFormatting>
  <pageMargins left="0.7" right="0.7" top="0.75" bottom="0.75" header="0.3" footer="0.3"/>
  <pageSetup paperSize="9" orientation="portrait" horizontalDpi="360" verticalDpi="36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A8A5-5FEC-B348-8BA0-774B69606D84}">
  <dimension ref="B1:AJ73"/>
  <sheetViews>
    <sheetView topLeftCell="J53" zoomScale="66" zoomScaleNormal="55" workbookViewId="0">
      <selection activeCell="B15" sqref="B15:G2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B1" s="267" t="s">
        <v>124</v>
      </c>
      <c r="C1" s="267"/>
      <c r="D1" s="267"/>
      <c r="E1" s="267"/>
      <c r="F1" s="218"/>
      <c r="G1" s="219"/>
      <c r="H1" s="219"/>
    </row>
    <row r="2" spans="2:36" ht="24" customHeight="1" thickBot="1">
      <c r="B2" s="267"/>
      <c r="C2" s="267"/>
      <c r="D2" s="267"/>
      <c r="E2" s="267"/>
      <c r="J2" s="226" t="s">
        <v>60</v>
      </c>
      <c r="K2" s="227"/>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c r="B3" s="267"/>
      <c r="C3" s="267"/>
      <c r="D3" s="267"/>
      <c r="E3" s="267"/>
      <c r="F3" s="188" t="s">
        <v>130</v>
      </c>
      <c r="G3" s="189" t="s">
        <v>129</v>
      </c>
      <c r="J3" s="48" t="s">
        <v>81</v>
      </c>
      <c r="K3" s="190" t="s">
        <v>96</v>
      </c>
      <c r="L3" s="42">
        <v>0</v>
      </c>
      <c r="M3" s="147">
        <v>8.9301121656600424E-2</v>
      </c>
      <c r="N3" s="147">
        <v>2.7394305435720412E-2</v>
      </c>
      <c r="O3" s="147">
        <v>-0.235979292493529</v>
      </c>
      <c r="P3" s="147">
        <v>-0.20729076790336509</v>
      </c>
      <c r="Q3" s="147">
        <v>-0.24482312338222623</v>
      </c>
      <c r="R3" s="147">
        <v>-0.29831751509922355</v>
      </c>
      <c r="S3" s="147">
        <v>-7.0750647109577458E-2</v>
      </c>
      <c r="T3" s="147">
        <v>-4.7238999137187432E-2</v>
      </c>
      <c r="U3" s="147">
        <v>-0.1867989646246766</v>
      </c>
      <c r="V3" s="147">
        <v>5.6082830025884212E-2</v>
      </c>
      <c r="W3" s="147">
        <v>0.12079378774805849</v>
      </c>
      <c r="X3" s="147">
        <v>-4.5513373597929396E-2</v>
      </c>
      <c r="Y3" s="147">
        <v>-5.5220017256255582E-2</v>
      </c>
      <c r="Z3" s="147">
        <v>2.3943054357204119E-2</v>
      </c>
      <c r="AA3" s="147">
        <v>0.18356341673856713</v>
      </c>
      <c r="AB3" s="147">
        <v>0.17148403796376144</v>
      </c>
      <c r="AC3" s="147">
        <v>7.441760138050002E-2</v>
      </c>
      <c r="AD3" s="147">
        <v>-8.7575496117342944E-2</v>
      </c>
      <c r="AE3" s="147">
        <v>-0.24482312338222634</v>
      </c>
      <c r="AF3" s="147">
        <v>-0.15012942191544465</v>
      </c>
      <c r="AG3" s="147">
        <v>-0.11000862812769663</v>
      </c>
      <c r="AH3" s="147">
        <v>-0.10742018981880963</v>
      </c>
      <c r="AI3" s="147">
        <v>-1.87661777394309E-2</v>
      </c>
      <c r="AJ3" s="152">
        <v>3.2786885245901232E-2</v>
      </c>
    </row>
    <row r="4" spans="2:36" ht="24" customHeight="1" thickBot="1">
      <c r="J4" s="43" t="s">
        <v>81</v>
      </c>
      <c r="K4" s="191" t="s">
        <v>102</v>
      </c>
      <c r="L4" s="45">
        <v>0</v>
      </c>
      <c r="M4" s="147">
        <v>8.7490206320188113E-2</v>
      </c>
      <c r="N4" s="147">
        <v>5.3538782972055499E-2</v>
      </c>
      <c r="O4" s="147">
        <v>-0.26795507965526244</v>
      </c>
      <c r="P4" s="147">
        <v>-0.19639592582919829</v>
      </c>
      <c r="Q4" s="147">
        <v>-0.2149386262731785</v>
      </c>
      <c r="R4" s="147">
        <v>-0.29093758161399852</v>
      </c>
      <c r="S4" s="147">
        <v>-0.14259597806215729</v>
      </c>
      <c r="T4" s="147">
        <v>-0.10603290676416832</v>
      </c>
      <c r="U4" s="147">
        <v>-0.16949595194567779</v>
      </c>
      <c r="V4" s="147">
        <v>-1.2013580569339322E-2</v>
      </c>
      <c r="W4" s="147">
        <v>-3.1078610603290646E-2</v>
      </c>
      <c r="X4" s="147">
        <v>-0.1175241577435362</v>
      </c>
      <c r="Y4" s="147">
        <v>-0.1329328806476886</v>
      </c>
      <c r="Z4" s="147">
        <v>-8.2005745625489679E-2</v>
      </c>
      <c r="AA4" s="147">
        <v>0.2013580569339255</v>
      </c>
      <c r="AB4" s="147">
        <v>0.16897362235570657</v>
      </c>
      <c r="AC4" s="147">
        <v>8.5923217550274211E-2</v>
      </c>
      <c r="AD4" s="147">
        <v>-6.2940715591538243E-2</v>
      </c>
      <c r="AE4" s="147">
        <v>-0.20867067119352312</v>
      </c>
      <c r="AF4" s="147">
        <v>-6.2157221206581403E-2</v>
      </c>
      <c r="AG4" s="147">
        <v>2.1676677983807568E-2</v>
      </c>
      <c r="AH4" s="147">
        <v>-6.0067902846696608E-3</v>
      </c>
      <c r="AI4" s="147">
        <v>7.3387307390963663E-2</v>
      </c>
      <c r="AJ4" s="152">
        <v>0.21859493340297709</v>
      </c>
    </row>
    <row r="5" spans="2:36" ht="24" customHeight="1">
      <c r="B5" s="51"/>
      <c r="C5" s="50">
        <v>2021</v>
      </c>
      <c r="D5" s="50">
        <v>2022</v>
      </c>
      <c r="E5" s="50">
        <v>2023</v>
      </c>
      <c r="F5" s="50">
        <v>2024</v>
      </c>
      <c r="G5" s="49">
        <v>2025</v>
      </c>
      <c r="J5" s="44" t="s">
        <v>82</v>
      </c>
      <c r="K5" s="192" t="s">
        <v>102</v>
      </c>
      <c r="L5" s="46">
        <v>0</v>
      </c>
      <c r="M5" s="147">
        <v>-1.7460787215152318E-2</v>
      </c>
      <c r="N5" s="147">
        <v>4.0248594258656345E-2</v>
      </c>
      <c r="O5" s="147">
        <v>0.36134951168984908</v>
      </c>
      <c r="P5" s="147">
        <v>0.32465226398342706</v>
      </c>
      <c r="Q5" s="147">
        <v>0.23054158034921568</v>
      </c>
      <c r="R5" s="147">
        <v>6.1852619118082375E-2</v>
      </c>
      <c r="S5" s="147">
        <v>-0.10328499556081672</v>
      </c>
      <c r="T5" s="147">
        <v>6.2740455756140845E-2</v>
      </c>
      <c r="U5" s="147">
        <v>0.15773897602841069</v>
      </c>
      <c r="V5" s="147">
        <v>0.12636874815034038</v>
      </c>
      <c r="W5" s="147">
        <v>0.21633619414027816</v>
      </c>
      <c r="X5" s="147">
        <v>0.38088191772713809</v>
      </c>
      <c r="Y5" s="147">
        <v>0.44421426457531821</v>
      </c>
      <c r="Z5" s="147">
        <v>0.47173720035513478</v>
      </c>
      <c r="AA5" s="147">
        <v>0.3711157147084938</v>
      </c>
      <c r="AB5" s="147">
        <v>0.24326723882805568</v>
      </c>
      <c r="AC5" s="147">
        <v>0.23231725362533306</v>
      </c>
      <c r="AD5" s="147">
        <v>0.47292098253921311</v>
      </c>
      <c r="AE5" s="147">
        <v>0.65936667653151848</v>
      </c>
      <c r="AF5" s="147">
        <v>0.85646641018052705</v>
      </c>
      <c r="AG5" s="147">
        <v>0.75969221663214026</v>
      </c>
      <c r="AH5" s="147">
        <v>0.95679195028114905</v>
      </c>
      <c r="AI5" s="147">
        <v>0.74874223142941765</v>
      </c>
      <c r="AJ5" s="152">
        <v>0.27138206569991175</v>
      </c>
    </row>
    <row r="6" spans="2:36" ht="24" customHeight="1">
      <c r="B6" s="47" t="s">
        <v>69</v>
      </c>
      <c r="C6" s="138">
        <v>13.93</v>
      </c>
      <c r="D6" s="139">
        <v>18.82</v>
      </c>
      <c r="E6" s="139">
        <v>19.010000000000002</v>
      </c>
      <c r="F6" s="139">
        <v>18.510000000000002</v>
      </c>
      <c r="G6" s="140">
        <v>18.25</v>
      </c>
      <c r="H6" s="1"/>
      <c r="J6" s="43" t="s">
        <v>82</v>
      </c>
      <c r="K6" s="191" t="s">
        <v>104</v>
      </c>
      <c r="L6" s="45">
        <v>0</v>
      </c>
      <c r="M6" s="147">
        <v>-7.5254237288135517E-2</v>
      </c>
      <c r="N6" s="147">
        <v>2.0338983050847137E-3</v>
      </c>
      <c r="O6" s="147">
        <v>0.21627118644067811</v>
      </c>
      <c r="P6" s="147">
        <v>0.13559322033898313</v>
      </c>
      <c r="Q6" s="147">
        <v>-1.3559322033896981E-3</v>
      </c>
      <c r="R6" s="147">
        <v>-0.13152542372881337</v>
      </c>
      <c r="S6" s="147">
        <v>-0.24406779661016931</v>
      </c>
      <c r="T6" s="147">
        <v>-0.15728813559322019</v>
      </c>
      <c r="U6" s="147">
        <v>-6.847457627118636E-2</v>
      </c>
      <c r="V6" s="147">
        <v>-3.5254237288135482E-2</v>
      </c>
      <c r="W6" s="147">
        <v>6.3050847457627235E-2</v>
      </c>
      <c r="X6" s="147">
        <v>4.067796610169494E-2</v>
      </c>
      <c r="Y6" s="147">
        <v>-8.4067796610169498E-2</v>
      </c>
      <c r="Z6" s="147">
        <v>-0.22033898305084754</v>
      </c>
      <c r="AA6" s="147">
        <v>-0.23186440677966114</v>
      </c>
      <c r="AB6" s="147">
        <v>-0.27864406779661022</v>
      </c>
      <c r="AC6" s="147">
        <v>-0.28000000000000014</v>
      </c>
      <c r="AD6" s="147">
        <v>-0.23796610169491528</v>
      </c>
      <c r="AE6" s="147">
        <v>-9.152542372881356E-2</v>
      </c>
      <c r="AF6" s="147">
        <v>-1.5593220338983027E-2</v>
      </c>
      <c r="AG6" s="147">
        <v>0.18169491525423731</v>
      </c>
      <c r="AH6" s="147">
        <v>0.14711864406779673</v>
      </c>
      <c r="AI6" s="147">
        <v>-2.7118644067796627E-2</v>
      </c>
      <c r="AJ6" s="152">
        <v>-0.28474576271186436</v>
      </c>
    </row>
    <row r="7" spans="2:36" ht="24" customHeight="1">
      <c r="B7" s="47" t="s">
        <v>70</v>
      </c>
      <c r="C7" s="141">
        <v>11.96</v>
      </c>
      <c r="D7" s="142">
        <v>16.04</v>
      </c>
      <c r="E7" s="142">
        <v>15.32</v>
      </c>
      <c r="F7" s="142">
        <v>15.51</v>
      </c>
      <c r="G7" s="143">
        <v>15.59</v>
      </c>
      <c r="H7" s="1"/>
      <c r="J7" s="44" t="s">
        <v>83</v>
      </c>
      <c r="K7" s="192" t="s">
        <v>96</v>
      </c>
      <c r="L7" s="46">
        <v>0</v>
      </c>
      <c r="M7" s="147">
        <v>7.4770258980785265E-2</v>
      </c>
      <c r="N7" s="147">
        <v>0.10672514619883056</v>
      </c>
      <c r="O7" s="147">
        <v>1.6290726817042689E-2</v>
      </c>
      <c r="P7" s="147">
        <v>-5.1378446115288079E-2</v>
      </c>
      <c r="Q7" s="147">
        <v>-8.0200501253132717E-2</v>
      </c>
      <c r="R7" s="147">
        <v>0.19172932330827086</v>
      </c>
      <c r="S7" s="147">
        <v>0.63450292397660846</v>
      </c>
      <c r="T7" s="147">
        <v>1.0223475355054301</v>
      </c>
      <c r="U7" s="147">
        <v>1.0279866332497911</v>
      </c>
      <c r="V7" s="147">
        <v>1.2105263157894739</v>
      </c>
      <c r="W7" s="147">
        <v>0.95927318295739372</v>
      </c>
      <c r="X7" s="147">
        <v>0.44214703425229751</v>
      </c>
      <c r="Y7" s="147">
        <v>0.43734335839599003</v>
      </c>
      <c r="Z7" s="147">
        <v>0.65914786967418548</v>
      </c>
      <c r="AA7" s="147">
        <v>0.66311612364243966</v>
      </c>
      <c r="AB7" s="147">
        <v>0.84440267335004227</v>
      </c>
      <c r="AC7" s="147">
        <v>1.1929824561403515</v>
      </c>
      <c r="AD7" s="147">
        <v>1.0154553049289894</v>
      </c>
      <c r="AE7" s="147">
        <v>0.96407685881370142</v>
      </c>
      <c r="AF7" s="147">
        <v>1.1294903926482878</v>
      </c>
      <c r="AG7" s="147">
        <v>1.3354218880534678</v>
      </c>
      <c r="AH7" s="147">
        <v>1.1370091896407692</v>
      </c>
      <c r="AI7" s="147">
        <v>1.2201336675020893</v>
      </c>
      <c r="AJ7" s="152">
        <v>0.92293233082706805</v>
      </c>
    </row>
    <row r="8" spans="2:36" ht="24" customHeight="1">
      <c r="B8" s="47" t="s">
        <v>71</v>
      </c>
      <c r="C8" s="141">
        <v>7.67</v>
      </c>
      <c r="D8" s="142">
        <v>10.48</v>
      </c>
      <c r="E8" s="142">
        <v>9.49</v>
      </c>
      <c r="F8" s="142">
        <v>9.4700000000000006</v>
      </c>
      <c r="G8" s="143">
        <v>9.3699999999999992</v>
      </c>
      <c r="J8" s="43" t="s">
        <v>83</v>
      </c>
      <c r="K8" s="191" t="s">
        <v>102</v>
      </c>
      <c r="L8" s="45">
        <v>0</v>
      </c>
      <c r="M8" s="147">
        <v>4.5863694813544909E-2</v>
      </c>
      <c r="N8" s="147">
        <v>6.5795113587655552E-2</v>
      </c>
      <c r="O8" s="147">
        <v>-7.0724389198455473E-3</v>
      </c>
      <c r="P8" s="147">
        <v>-9.9657093870552882E-2</v>
      </c>
      <c r="Q8" s="147">
        <v>-0.10758679811401617</v>
      </c>
      <c r="R8" s="147">
        <v>6.6652378911273402E-2</v>
      </c>
      <c r="S8" s="147">
        <v>0.2016716673810548</v>
      </c>
      <c r="T8" s="147">
        <v>0.34440634376339507</v>
      </c>
      <c r="U8" s="147">
        <v>0.2743249035576516</v>
      </c>
      <c r="V8" s="147">
        <v>0.4170595799399921</v>
      </c>
      <c r="W8" s="147">
        <v>0.26639519931418842</v>
      </c>
      <c r="X8" s="147">
        <v>-7.9297042434632981E-2</v>
      </c>
      <c r="Y8" s="147">
        <v>-0.12087441063008952</v>
      </c>
      <c r="Z8" s="147">
        <v>2.1860265752250863E-2</v>
      </c>
      <c r="AA8" s="147">
        <v>4.1577368195456987E-2</v>
      </c>
      <c r="AB8" s="147">
        <v>0.12687526789541415</v>
      </c>
      <c r="AC8" s="147">
        <v>0.31290184312044644</v>
      </c>
      <c r="AD8" s="147">
        <v>0.20595799399914339</v>
      </c>
      <c r="AE8" s="147">
        <v>0.21945992284612137</v>
      </c>
      <c r="AF8" s="147">
        <v>0.36648092584655001</v>
      </c>
      <c r="AG8" s="147">
        <v>0.47942563223317691</v>
      </c>
      <c r="AH8" s="147">
        <v>0.40462923274753626</v>
      </c>
      <c r="AI8" s="147">
        <v>0.40055722246035197</v>
      </c>
      <c r="AJ8" s="152">
        <v>0.42091727389627143</v>
      </c>
    </row>
    <row r="9" spans="2:36" ht="24" customHeight="1">
      <c r="B9" s="47" t="s">
        <v>72</v>
      </c>
      <c r="C9" s="141">
        <v>9.7799999999999994</v>
      </c>
      <c r="D9" s="142">
        <v>12.5</v>
      </c>
      <c r="E9" s="142">
        <v>13.38</v>
      </c>
      <c r="F9" s="142">
        <v>12.88</v>
      </c>
      <c r="G9" s="143">
        <v>11.93</v>
      </c>
      <c r="J9" s="44" t="s">
        <v>84</v>
      </c>
      <c r="K9" s="190" t="s">
        <v>96</v>
      </c>
      <c r="L9" s="42">
        <v>0</v>
      </c>
      <c r="M9" s="147">
        <v>-3.3309196234613259E-3</v>
      </c>
      <c r="N9" s="147">
        <v>0.15047067342505427</v>
      </c>
      <c r="O9" s="147">
        <v>0.1532223026792181</v>
      </c>
      <c r="P9" s="147">
        <v>0.27892831281679986</v>
      </c>
      <c r="Q9" s="147">
        <v>0.52063721940622787</v>
      </c>
      <c r="R9" s="147">
        <v>0.39753801593048554</v>
      </c>
      <c r="S9" s="147">
        <v>0.36191165821868254</v>
      </c>
      <c r="T9" s="147">
        <v>0.47661115133960918</v>
      </c>
      <c r="U9" s="147">
        <v>0.61940622737147022</v>
      </c>
      <c r="V9" s="147">
        <v>0.48182476466328783</v>
      </c>
      <c r="W9" s="147">
        <v>0.53946415640839995</v>
      </c>
      <c r="X9" s="147">
        <v>0.33338160753077495</v>
      </c>
      <c r="Y9" s="147">
        <v>0.30340333091962357</v>
      </c>
      <c r="Z9" s="147">
        <v>0.63099203475742249</v>
      </c>
      <c r="AJ9" s="41"/>
    </row>
    <row r="10" spans="2:36" ht="24" customHeight="1" thickBot="1">
      <c r="B10" s="63" t="s">
        <v>75</v>
      </c>
      <c r="C10" s="141">
        <v>11.52</v>
      </c>
      <c r="D10" s="142">
        <v>13.21</v>
      </c>
      <c r="E10" s="142">
        <v>13.82</v>
      </c>
      <c r="F10" s="142">
        <v>14.025</v>
      </c>
      <c r="G10" s="143">
        <v>14.31</v>
      </c>
      <c r="J10" s="43" t="s">
        <v>84</v>
      </c>
      <c r="K10" s="190" t="s">
        <v>102</v>
      </c>
      <c r="L10" s="42">
        <v>0</v>
      </c>
      <c r="M10" s="147">
        <v>-4.5158286778398504E-2</v>
      </c>
      <c r="N10" s="147">
        <v>0.10986964618249528</v>
      </c>
      <c r="O10" s="147">
        <v>0.13128491620111715</v>
      </c>
      <c r="P10" s="147">
        <v>0.22392923649906882</v>
      </c>
      <c r="Q10" s="147">
        <v>0.42597765363128492</v>
      </c>
      <c r="R10" s="147">
        <v>0.30982309124767227</v>
      </c>
      <c r="S10" s="147">
        <v>0.32448789571694592</v>
      </c>
      <c r="T10" s="147">
        <v>0.48417132216014891</v>
      </c>
      <c r="U10" s="147">
        <v>0.60684357541899447</v>
      </c>
      <c r="V10" s="147">
        <v>0.52560521415270034</v>
      </c>
      <c r="W10" s="147">
        <v>0.52118249534450634</v>
      </c>
      <c r="X10" s="147">
        <v>0.54329608938547458</v>
      </c>
      <c r="Y10" s="147">
        <v>0.57844506517690863</v>
      </c>
      <c r="Z10" s="147">
        <v>0.89897579143389184</v>
      </c>
      <c r="AA10" s="153"/>
      <c r="AB10" s="153"/>
      <c r="AC10" s="153"/>
      <c r="AD10" s="153"/>
      <c r="AE10" s="153"/>
      <c r="AF10" s="153"/>
      <c r="AG10" s="153"/>
      <c r="AH10" s="153"/>
      <c r="AI10" s="153"/>
      <c r="AJ10" s="154"/>
    </row>
    <row r="11" spans="2:36" ht="24" customHeight="1" thickBot="1">
      <c r="B11" s="47" t="s">
        <v>76</v>
      </c>
      <c r="C11" s="141">
        <v>11.78</v>
      </c>
      <c r="D11" s="142">
        <v>15.87</v>
      </c>
      <c r="E11" s="142">
        <v>15.21</v>
      </c>
      <c r="F11" s="142">
        <v>15.41</v>
      </c>
      <c r="G11" s="143">
        <v>15.32</v>
      </c>
      <c r="J11" s="216" t="s">
        <v>58</v>
      </c>
      <c r="K11" s="217"/>
      <c r="L11" s="40">
        <v>0</v>
      </c>
      <c r="M11" s="39">
        <f t="shared" ref="M11:AJ11" si="0">AVERAGE(M3:M10)</f>
        <v>1.9527631358246381E-2</v>
      </c>
      <c r="N11" s="39">
        <f t="shared" si="0"/>
        <v>6.9509520045694079E-2</v>
      </c>
      <c r="O11" s="39">
        <f t="shared" si="0"/>
        <v>4.5926479094908518E-2</v>
      </c>
      <c r="P11" s="39">
        <f t="shared" si="0"/>
        <v>5.1047599989984316E-2</v>
      </c>
      <c r="Q11" s="39">
        <f t="shared" si="0"/>
        <v>6.6031434020098145E-2</v>
      </c>
      <c r="R11" s="39">
        <f t="shared" si="0"/>
        <v>3.8351863509218626E-2</v>
      </c>
      <c r="S11" s="39">
        <f t="shared" si="0"/>
        <v>0.12023434099382137</v>
      </c>
      <c r="T11" s="39">
        <f t="shared" si="0"/>
        <v>0.25996459587876852</v>
      </c>
      <c r="U11" s="39">
        <f t="shared" si="0"/>
        <v>0.28269135284809721</v>
      </c>
      <c r="V11" s="39">
        <f t="shared" si="0"/>
        <v>0.34627495435802547</v>
      </c>
      <c r="W11" s="39">
        <f t="shared" si="0"/>
        <v>0.33192715659589522</v>
      </c>
      <c r="X11" s="39">
        <f t="shared" si="0"/>
        <v>0.1872562551526602</v>
      </c>
      <c r="Y11" s="39">
        <f t="shared" si="0"/>
        <v>0.17128886424045464</v>
      </c>
      <c r="Z11" s="39">
        <f t="shared" si="0"/>
        <v>0.30053893595671904</v>
      </c>
      <c r="AA11" s="39">
        <f t="shared" si="0"/>
        <v>0.20481104557320365</v>
      </c>
      <c r="AB11" s="39">
        <f t="shared" si="0"/>
        <v>0.21272646209939497</v>
      </c>
      <c r="AC11" s="39">
        <f t="shared" si="0"/>
        <v>0.26975706196948418</v>
      </c>
      <c r="AD11" s="39">
        <f t="shared" si="0"/>
        <v>0.21764199467725823</v>
      </c>
      <c r="AE11" s="39">
        <f t="shared" si="0"/>
        <v>0.21631403998112972</v>
      </c>
      <c r="AF11" s="39">
        <f t="shared" si="0"/>
        <v>0.35409297753572594</v>
      </c>
      <c r="AG11" s="39">
        <f t="shared" si="0"/>
        <v>0.4446504503381889</v>
      </c>
      <c r="AH11" s="39">
        <f t="shared" si="0"/>
        <v>0.42202033943896206</v>
      </c>
      <c r="AI11" s="39">
        <f t="shared" si="0"/>
        <v>0.39948926782926586</v>
      </c>
      <c r="AJ11" s="38">
        <f t="shared" si="0"/>
        <v>0.26364462106004422</v>
      </c>
    </row>
    <row r="12" spans="2:36" ht="24" customHeight="1">
      <c r="B12" s="64" t="s">
        <v>74</v>
      </c>
      <c r="C12" s="141">
        <v>13.95</v>
      </c>
      <c r="D12" s="142">
        <v>18.75</v>
      </c>
      <c r="E12" s="142">
        <v>20.420000000000002</v>
      </c>
      <c r="F12" s="142">
        <v>19.850000000000001</v>
      </c>
      <c r="G12" s="143">
        <v>20.149999999999999</v>
      </c>
    </row>
    <row r="13" spans="2:36" ht="24" customHeight="1" thickBot="1">
      <c r="B13" s="65" t="s">
        <v>73</v>
      </c>
      <c r="C13" s="144">
        <v>14.54</v>
      </c>
      <c r="D13" s="145">
        <v>19.34</v>
      </c>
      <c r="E13" s="145">
        <v>21.65</v>
      </c>
      <c r="F13" s="145">
        <v>20.85</v>
      </c>
      <c r="G13" s="146">
        <v>20.65</v>
      </c>
    </row>
    <row r="14" spans="2:36" ht="24" customHeight="1" thickBot="1"/>
    <row r="15" spans="2:36" ht="24" customHeight="1" thickBot="1">
      <c r="B15" s="51"/>
      <c r="C15" s="50">
        <v>2021</v>
      </c>
      <c r="D15" s="50">
        <v>2022</v>
      </c>
      <c r="E15" s="50">
        <v>2023</v>
      </c>
      <c r="F15" s="50">
        <v>2024</v>
      </c>
      <c r="G15" s="49">
        <v>2025</v>
      </c>
      <c r="J15" s="228" t="s">
        <v>59</v>
      </c>
      <c r="K15" s="229"/>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3</v>
      </c>
      <c r="D16" s="84">
        <v>2</v>
      </c>
      <c r="E16" s="84">
        <v>3</v>
      </c>
      <c r="F16" s="84">
        <v>3</v>
      </c>
      <c r="G16" s="85">
        <v>3</v>
      </c>
      <c r="J16" s="48" t="s">
        <v>81</v>
      </c>
      <c r="K16" s="197" t="s">
        <v>98</v>
      </c>
      <c r="L16" s="42">
        <v>0</v>
      </c>
      <c r="M16" s="147">
        <v>-6.3548102383053862E-2</v>
      </c>
      <c r="N16" s="147">
        <v>-5.1191526919682206E-2</v>
      </c>
      <c r="O16" s="147">
        <v>-0.17299205648720217</v>
      </c>
      <c r="P16" s="147">
        <v>0.27802294792586069</v>
      </c>
      <c r="Q16" s="147">
        <v>0.13857016769638153</v>
      </c>
      <c r="R16" s="147">
        <v>-0.14386584289496906</v>
      </c>
      <c r="S16" s="147">
        <v>0.15710503089143879</v>
      </c>
      <c r="T16" s="147">
        <v>0.15092674315975296</v>
      </c>
      <c r="U16" s="147">
        <v>-9.3556928508384707E-2</v>
      </c>
      <c r="V16" s="147">
        <v>0.1103265666372466</v>
      </c>
      <c r="W16" s="147">
        <v>3.7952338923213036E-2</v>
      </c>
      <c r="X16" s="147">
        <v>-0.13150926743159719</v>
      </c>
      <c r="Y16" s="147">
        <v>-0.1624007060900261</v>
      </c>
      <c r="Z16" s="147">
        <v>-0.27360988526037033</v>
      </c>
      <c r="AA16" s="147">
        <v>-0.14651368049426261</v>
      </c>
      <c r="AB16" s="147">
        <v>-0.17917034421888745</v>
      </c>
      <c r="AC16" s="147">
        <v>-0.44571932921447455</v>
      </c>
      <c r="AD16" s="147">
        <v>-0.57281553398058227</v>
      </c>
      <c r="AE16" s="147">
        <v>-0.70079435127978806</v>
      </c>
      <c r="AF16" s="147">
        <v>-0.6548984995586935</v>
      </c>
      <c r="AG16" s="147">
        <v>-0.51809355692850811</v>
      </c>
      <c r="AH16" s="147">
        <v>-0.57016769638128828</v>
      </c>
      <c r="AI16" s="147">
        <v>-0.38746690203000833</v>
      </c>
      <c r="AJ16" s="152">
        <v>-0.28420123565754574</v>
      </c>
    </row>
    <row r="17" spans="2:36" ht="24" customHeight="1">
      <c r="B17" s="47" t="s">
        <v>70</v>
      </c>
      <c r="C17" s="84">
        <v>4</v>
      </c>
      <c r="D17" s="84">
        <v>4</v>
      </c>
      <c r="E17" s="84">
        <v>4</v>
      </c>
      <c r="F17" s="84">
        <v>4</v>
      </c>
      <c r="G17" s="85">
        <v>4</v>
      </c>
      <c r="J17" s="43" t="s">
        <v>81</v>
      </c>
      <c r="K17" s="198" t="s">
        <v>101</v>
      </c>
      <c r="L17" s="45">
        <v>0</v>
      </c>
      <c r="M17" s="147">
        <v>-4.4342507645259932E-2</v>
      </c>
      <c r="N17" s="147">
        <v>-7.9701834862385357E-2</v>
      </c>
      <c r="O17" s="147">
        <v>-0.30358053007135566</v>
      </c>
      <c r="P17" s="147">
        <v>-0.28994648318042804</v>
      </c>
      <c r="Q17" s="147">
        <v>-0.40577217125382259</v>
      </c>
      <c r="R17" s="147">
        <v>-0.55058613659531086</v>
      </c>
      <c r="S17" s="147">
        <v>-0.53784403669724756</v>
      </c>
      <c r="T17" s="147">
        <v>-0.4912716615698266</v>
      </c>
      <c r="U17" s="147">
        <v>-0.58135830784913356</v>
      </c>
      <c r="V17" s="147">
        <v>-0.47024719673802229</v>
      </c>
      <c r="W17" s="147">
        <v>-0.36850152905198763</v>
      </c>
      <c r="X17" s="147">
        <v>-0.43361365953109066</v>
      </c>
      <c r="Y17" s="147">
        <v>-0.36015545361875634</v>
      </c>
      <c r="Z17" s="147">
        <v>-0.39965596330275222</v>
      </c>
      <c r="AA17" s="147">
        <v>-0.22241335372069315</v>
      </c>
      <c r="AB17" s="147">
        <v>-0.2382772680937818</v>
      </c>
      <c r="AC17" s="147">
        <v>-0.45291794087665638</v>
      </c>
      <c r="AD17" s="147">
        <v>-0.52395514780835883</v>
      </c>
      <c r="AE17" s="147">
        <v>-0.58741080530071343</v>
      </c>
      <c r="AF17" s="147">
        <v>-0.57581549439347612</v>
      </c>
      <c r="AG17" s="147">
        <v>-0.48318042813455653</v>
      </c>
      <c r="AH17" s="147">
        <v>-0.50949286442405706</v>
      </c>
      <c r="AI17" s="147">
        <v>-0.54466106014271154</v>
      </c>
      <c r="AJ17" s="152">
        <v>-0.52580275229357787</v>
      </c>
    </row>
    <row r="18" spans="2:36" ht="24" customHeight="1">
      <c r="B18" s="47" t="s">
        <v>71</v>
      </c>
      <c r="C18" s="86">
        <v>8</v>
      </c>
      <c r="D18" s="86">
        <v>8</v>
      </c>
      <c r="E18" s="86">
        <v>8</v>
      </c>
      <c r="F18" s="86">
        <v>8</v>
      </c>
      <c r="G18" s="87">
        <v>8</v>
      </c>
      <c r="J18" s="44" t="s">
        <v>82</v>
      </c>
      <c r="K18" s="199" t="s">
        <v>98</v>
      </c>
      <c r="L18" s="46">
        <v>0</v>
      </c>
      <c r="M18" s="147">
        <v>-3.5569105691056868E-2</v>
      </c>
      <c r="N18" s="147">
        <v>-0.16361788617886164</v>
      </c>
      <c r="O18" s="147">
        <v>-1.7276422764227584E-2</v>
      </c>
      <c r="P18" s="147">
        <v>-5.4878048780487743E-2</v>
      </c>
      <c r="Q18" s="147">
        <v>-0.36178861788617878</v>
      </c>
      <c r="R18" s="147">
        <v>-0.50813008130081294</v>
      </c>
      <c r="S18" s="147">
        <v>-0.65548780487804881</v>
      </c>
      <c r="T18" s="147">
        <v>-0.60264227642276413</v>
      </c>
      <c r="U18" s="147">
        <v>-0.44512195121951215</v>
      </c>
      <c r="V18" s="147">
        <v>-0.50508130081300806</v>
      </c>
      <c r="W18" s="147">
        <v>-0.2947154471544714</v>
      </c>
      <c r="X18" s="147">
        <v>-0.17581300813008116</v>
      </c>
      <c r="Y18" s="147">
        <v>-0.38617886178861771</v>
      </c>
      <c r="Z18" s="147">
        <v>-0.44410569105691045</v>
      </c>
      <c r="AA18" s="147">
        <v>-0.4989837398373983</v>
      </c>
      <c r="AB18" s="147">
        <v>-0.59949186991869907</v>
      </c>
      <c r="AC18" s="147">
        <v>-0.63109756097560976</v>
      </c>
      <c r="AD18" s="147">
        <v>-0.45630081300813008</v>
      </c>
      <c r="AE18" s="147">
        <v>-0.38211382113821135</v>
      </c>
      <c r="AF18" s="147">
        <v>-0.40752032520325199</v>
      </c>
      <c r="AG18" s="147">
        <v>-0.27743902439024382</v>
      </c>
      <c r="AH18" s="147">
        <v>-0.14329268292682917</v>
      </c>
      <c r="AI18" s="147">
        <v>-0.26829268292682917</v>
      </c>
      <c r="AJ18" s="152">
        <v>-0.55894308943089421</v>
      </c>
    </row>
    <row r="19" spans="2:36" ht="24" customHeight="1">
      <c r="B19" s="47" t="s">
        <v>72</v>
      </c>
      <c r="C19" s="86">
        <v>7</v>
      </c>
      <c r="D19" s="86">
        <v>7</v>
      </c>
      <c r="E19" s="86">
        <v>7</v>
      </c>
      <c r="F19" s="86">
        <v>7</v>
      </c>
      <c r="G19" s="87">
        <v>7</v>
      </c>
      <c r="J19" s="43" t="s">
        <v>82</v>
      </c>
      <c r="K19" s="198" t="s">
        <v>101</v>
      </c>
      <c r="L19" s="45">
        <v>0</v>
      </c>
      <c r="M19" s="147">
        <v>0.12969628796400445</v>
      </c>
      <c r="N19" s="147">
        <v>5.9955005624297009E-2</v>
      </c>
      <c r="O19" s="147">
        <v>0.37289088863891995</v>
      </c>
      <c r="P19" s="147">
        <v>0.34488188976377954</v>
      </c>
      <c r="Q19" s="147">
        <v>-3.4083239595050552E-2</v>
      </c>
      <c r="R19" s="147">
        <v>-0.15950506186726654</v>
      </c>
      <c r="S19" s="147">
        <v>-0.27154105736782885</v>
      </c>
      <c r="T19" s="147">
        <v>-0.25106861642294709</v>
      </c>
      <c r="U19" s="147">
        <v>-8.7514060742406974E-2</v>
      </c>
      <c r="V19" s="147">
        <v>-0.13397075365579292</v>
      </c>
      <c r="W19" s="147">
        <v>-0.1960629921259841</v>
      </c>
      <c r="X19" s="147">
        <v>-0.1627671541057365</v>
      </c>
      <c r="Y19" s="147">
        <v>-0.39268841394825627</v>
      </c>
      <c r="Z19" s="147">
        <v>-0.40787401574803139</v>
      </c>
      <c r="AA19" s="147">
        <v>-0.43498312710911136</v>
      </c>
      <c r="AB19" s="147">
        <v>-0.36929133858267715</v>
      </c>
      <c r="AC19" s="147">
        <v>-0.52665916760404952</v>
      </c>
      <c r="AD19" s="147">
        <v>-0.38065241844769404</v>
      </c>
      <c r="AE19" s="147">
        <v>-0.26872890888638923</v>
      </c>
      <c r="AF19" s="147">
        <v>-7.9415073115860602E-2</v>
      </c>
      <c r="AG19" s="147">
        <v>5.8717660292463503E-2</v>
      </c>
      <c r="AH19" s="147">
        <v>0.152193475815523</v>
      </c>
      <c r="AI19" s="147">
        <v>-0.17322834645669305</v>
      </c>
      <c r="AJ19" s="152">
        <v>-0.41901012373453328</v>
      </c>
    </row>
    <row r="20" spans="2:36" ht="24" customHeight="1">
      <c r="B20" s="63" t="s">
        <v>75</v>
      </c>
      <c r="C20" s="88">
        <v>6</v>
      </c>
      <c r="D20" s="89">
        <v>6</v>
      </c>
      <c r="E20" s="89">
        <v>6</v>
      </c>
      <c r="F20" s="89">
        <v>6</v>
      </c>
      <c r="G20" s="90">
        <v>6</v>
      </c>
      <c r="J20" s="44" t="s">
        <v>83</v>
      </c>
      <c r="K20" s="199" t="s">
        <v>98</v>
      </c>
      <c r="L20" s="46">
        <v>0</v>
      </c>
      <c r="M20" s="147">
        <v>-0.25524044389642409</v>
      </c>
      <c r="N20" s="147">
        <v>-0.32552404438964244</v>
      </c>
      <c r="O20" s="147">
        <v>-0.39210850801479658</v>
      </c>
      <c r="P20" s="147">
        <v>-0.51405672009864367</v>
      </c>
      <c r="Q20" s="147">
        <v>-0.55240443896424174</v>
      </c>
      <c r="R20" s="147">
        <v>-0.34032059186189889</v>
      </c>
      <c r="S20" s="147">
        <v>-0.25030826140567197</v>
      </c>
      <c r="T20" s="147">
        <v>-0.28113440197287287</v>
      </c>
      <c r="U20" s="147">
        <v>-0.12330456226880371</v>
      </c>
      <c r="V20" s="147">
        <v>3.9457459926017568E-2</v>
      </c>
      <c r="W20" s="147">
        <v>-0.11220715166461126</v>
      </c>
      <c r="X20" s="147">
        <v>-0.46485819975339071</v>
      </c>
      <c r="Y20" s="147">
        <v>-0.6325524044389641</v>
      </c>
      <c r="Z20" s="147">
        <v>-0.50431565967940795</v>
      </c>
      <c r="AA20" s="147">
        <v>-0.55610357583230563</v>
      </c>
      <c r="AB20" s="147">
        <v>-0.45992601726263849</v>
      </c>
      <c r="AC20" s="147">
        <v>-0.39580764488286035</v>
      </c>
      <c r="AD20" s="147">
        <v>-0.45561035758323032</v>
      </c>
      <c r="AE20" s="147">
        <v>-0.52404438964241651</v>
      </c>
      <c r="AF20" s="147">
        <v>-0.43773119605425381</v>
      </c>
      <c r="AG20" s="147">
        <v>-0.41923551171393314</v>
      </c>
      <c r="AH20" s="147">
        <v>-0.42786683107274948</v>
      </c>
      <c r="AI20" s="147">
        <v>-0.45252774352651015</v>
      </c>
      <c r="AJ20" s="152">
        <v>-0.56473489519112186</v>
      </c>
    </row>
    <row r="21" spans="2:36" ht="24" customHeight="1">
      <c r="B21" s="47" t="s">
        <v>76</v>
      </c>
      <c r="C21" s="91">
        <v>5</v>
      </c>
      <c r="D21" s="91">
        <v>5</v>
      </c>
      <c r="E21" s="84">
        <v>5</v>
      </c>
      <c r="F21" s="84">
        <v>5</v>
      </c>
      <c r="G21" s="85">
        <v>5</v>
      </c>
      <c r="J21" s="43" t="s">
        <v>83</v>
      </c>
      <c r="K21" s="198" t="s">
        <v>101</v>
      </c>
      <c r="L21" s="45">
        <v>0</v>
      </c>
      <c r="M21" s="147">
        <v>-0.27462044874378611</v>
      </c>
      <c r="N21" s="147">
        <v>-0.29275829638586592</v>
      </c>
      <c r="O21" s="147">
        <v>-0.32513771328765295</v>
      </c>
      <c r="P21" s="147">
        <v>-0.24667472793228551</v>
      </c>
      <c r="Q21" s="147">
        <v>-0.43463657127502364</v>
      </c>
      <c r="R21" s="147">
        <v>-0.26024452505710072</v>
      </c>
      <c r="S21" s="147">
        <v>-0.12656187021362364</v>
      </c>
      <c r="T21" s="147">
        <v>9.9556630390971179E-2</v>
      </c>
      <c r="U21" s="147">
        <v>0.2645438667204083</v>
      </c>
      <c r="V21" s="147">
        <v>0.37619239553943284</v>
      </c>
      <c r="W21" s="147">
        <v>-1.2494961708988561E-2</v>
      </c>
      <c r="X21" s="147">
        <v>-0.30605938465672455</v>
      </c>
      <c r="Y21" s="147">
        <v>-0.36947467419051472</v>
      </c>
      <c r="Z21" s="147">
        <v>-0.25325809485422557</v>
      </c>
      <c r="AA21" s="147">
        <v>-0.26172242375386279</v>
      </c>
      <c r="AB21" s="147">
        <v>-0.30619373908370295</v>
      </c>
      <c r="AC21" s="147">
        <v>-0.15813516055354049</v>
      </c>
      <c r="AD21" s="147">
        <v>-0.18352814725245215</v>
      </c>
      <c r="AE21" s="147">
        <v>-0.16458417304850226</v>
      </c>
      <c r="AF21" s="147">
        <v>2.1093645035603403E-2</v>
      </c>
      <c r="AG21" s="147">
        <v>0.14564019884455148</v>
      </c>
      <c r="AH21" s="147">
        <v>0.19078328630928332</v>
      </c>
      <c r="AI21" s="147">
        <v>0.37243047158403808</v>
      </c>
      <c r="AJ21" s="152">
        <v>8.8808276232701377E-2</v>
      </c>
    </row>
    <row r="22" spans="2:36" ht="24" customHeight="1">
      <c r="B22" s="64" t="s">
        <v>74</v>
      </c>
      <c r="C22" s="92">
        <v>2</v>
      </c>
      <c r="D22" s="92">
        <v>3</v>
      </c>
      <c r="E22" s="92">
        <v>2</v>
      </c>
      <c r="F22" s="92">
        <v>2</v>
      </c>
      <c r="G22" s="93">
        <v>2</v>
      </c>
      <c r="J22" s="44" t="s">
        <v>84</v>
      </c>
      <c r="K22" s="197" t="s">
        <v>98</v>
      </c>
      <c r="L22" s="42">
        <v>0</v>
      </c>
      <c r="M22" s="147">
        <v>-0.31336405529953915</v>
      </c>
      <c r="N22" s="147">
        <v>-7.373271889400923E-2</v>
      </c>
      <c r="O22" s="147">
        <v>-0.17050691244239624</v>
      </c>
      <c r="P22" s="147">
        <v>9.2165898617511122E-3</v>
      </c>
      <c r="Q22" s="147">
        <v>0.12903225806451624</v>
      </c>
      <c r="R22" s="147">
        <v>1.7281105990783363E-2</v>
      </c>
      <c r="S22" s="147">
        <v>-0.1105990783410139</v>
      </c>
      <c r="T22" s="147">
        <v>5.0691244239631228E-2</v>
      </c>
      <c r="U22" s="147">
        <v>8.5253456221198176E-2</v>
      </c>
      <c r="V22" s="147">
        <v>6.9124423963133452E-2</v>
      </c>
      <c r="W22" s="147">
        <v>2.3041474654377891E-2</v>
      </c>
      <c r="X22" s="147">
        <v>-0.18663594470046097</v>
      </c>
      <c r="Y22" s="147">
        <v>-0.16359447004608307</v>
      </c>
      <c r="Z22" s="147">
        <v>0.39400921658986165</v>
      </c>
      <c r="AJ22" s="41"/>
    </row>
    <row r="23" spans="2:36" ht="24" customHeight="1" thickBot="1">
      <c r="B23" s="65" t="s">
        <v>73</v>
      </c>
      <c r="C23" s="94">
        <v>1</v>
      </c>
      <c r="D23" s="94">
        <v>1</v>
      </c>
      <c r="E23" s="94">
        <v>1</v>
      </c>
      <c r="F23" s="94">
        <v>1</v>
      </c>
      <c r="G23" s="95">
        <v>1</v>
      </c>
      <c r="J23" s="43" t="s">
        <v>84</v>
      </c>
      <c r="K23" s="197" t="s">
        <v>101</v>
      </c>
      <c r="L23" s="42">
        <v>0</v>
      </c>
      <c r="M23" s="147">
        <v>-9.1384317521781222E-2</v>
      </c>
      <c r="N23" s="147">
        <v>7.6089060987415413E-2</v>
      </c>
      <c r="O23" s="147">
        <v>6.3891577928364196E-2</v>
      </c>
      <c r="P23" s="147">
        <v>-1.9361084220703706E-4</v>
      </c>
      <c r="Q23" s="147">
        <v>0.21316553727008714</v>
      </c>
      <c r="R23" s="147">
        <v>0.17657308809293326</v>
      </c>
      <c r="S23" s="147">
        <v>0.20387221684414314</v>
      </c>
      <c r="T23" s="147">
        <v>0.4714424007744431</v>
      </c>
      <c r="U23" s="147">
        <v>0.65091965150048381</v>
      </c>
      <c r="V23" s="147">
        <v>0.71597289448209067</v>
      </c>
      <c r="W23" s="147">
        <v>0.97773475314617597</v>
      </c>
      <c r="X23" s="147">
        <v>0.56902226524685373</v>
      </c>
      <c r="Y23" s="147">
        <v>0.46447241045498533</v>
      </c>
      <c r="Z23" s="147">
        <v>0.77366892545982546</v>
      </c>
      <c r="AA23" s="153"/>
      <c r="AB23" s="153"/>
      <c r="AC23" s="153"/>
      <c r="AD23" s="153"/>
      <c r="AE23" s="153"/>
      <c r="AF23" s="153"/>
      <c r="AG23" s="153"/>
      <c r="AH23" s="153"/>
      <c r="AI23" s="153"/>
      <c r="AJ23" s="154"/>
    </row>
    <row r="24" spans="2:36" ht="24" customHeight="1" thickBot="1">
      <c r="J24" s="216" t="s">
        <v>58</v>
      </c>
      <c r="K24" s="217"/>
      <c r="L24" s="40">
        <v>0</v>
      </c>
      <c r="M24" s="39">
        <f>AVERAGE(M16:M23)</f>
        <v>-0.1185465866521121</v>
      </c>
      <c r="N24" s="39">
        <f t="shared" ref="N24:AJ24" si="1">AVERAGE(N16:N23)</f>
        <v>-0.1063102801273418</v>
      </c>
      <c r="O24" s="39">
        <f t="shared" si="1"/>
        <v>-0.11810245956254339</v>
      </c>
      <c r="P24" s="39">
        <f t="shared" si="1"/>
        <v>-5.9203520410332583E-2</v>
      </c>
      <c r="Q24" s="39">
        <f t="shared" si="1"/>
        <v>-0.16348963449291656</v>
      </c>
      <c r="R24" s="39">
        <f t="shared" si="1"/>
        <v>-0.22109975568670526</v>
      </c>
      <c r="S24" s="39">
        <f t="shared" si="1"/>
        <v>-0.19892060764598157</v>
      </c>
      <c r="T24" s="39">
        <f t="shared" si="1"/>
        <v>-0.10668749222795154</v>
      </c>
      <c r="U24" s="39">
        <f t="shared" si="1"/>
        <v>-4.1267354518268851E-2</v>
      </c>
      <c r="V24" s="39">
        <f t="shared" si="1"/>
        <v>2.5221811167637234E-2</v>
      </c>
      <c r="W24" s="39">
        <f t="shared" si="1"/>
        <v>6.8433106272154931E-3</v>
      </c>
      <c r="X24" s="39">
        <f t="shared" si="1"/>
        <v>-0.1615292941327785</v>
      </c>
      <c r="Y24" s="39">
        <f t="shared" si="1"/>
        <v>-0.25032157170827912</v>
      </c>
      <c r="Z24" s="39">
        <f t="shared" si="1"/>
        <v>-0.13939264598150136</v>
      </c>
      <c r="AA24" s="39">
        <f t="shared" si="1"/>
        <v>-0.35345331679127234</v>
      </c>
      <c r="AB24" s="39">
        <f t="shared" si="1"/>
        <v>-0.35872509619339782</v>
      </c>
      <c r="AC24" s="39">
        <f t="shared" si="1"/>
        <v>-0.43505613401786519</v>
      </c>
      <c r="AD24" s="39">
        <f t="shared" si="1"/>
        <v>-0.42881040301340789</v>
      </c>
      <c r="AE24" s="39">
        <f t="shared" si="1"/>
        <v>-0.43794607488267018</v>
      </c>
      <c r="AF24" s="39">
        <f t="shared" si="1"/>
        <v>-0.3557144905483221</v>
      </c>
      <c r="AG24" s="39">
        <f t="shared" si="1"/>
        <v>-0.24893177700503777</v>
      </c>
      <c r="AH24" s="39">
        <f t="shared" si="1"/>
        <v>-0.21797388544668628</v>
      </c>
      <c r="AI24" s="39">
        <f t="shared" si="1"/>
        <v>-0.24229104391645237</v>
      </c>
      <c r="AJ24" s="38">
        <f t="shared" si="1"/>
        <v>-0.37731397001249523</v>
      </c>
    </row>
    <row r="25" spans="2:36" ht="30" customHeigh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1.05" hidden="1"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1.05" hidden="1" customHeight="1">
      <c r="J27" s="206" t="s">
        <v>91</v>
      </c>
      <c r="K27" s="207"/>
      <c r="L27" s="158">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52">
        <v>0.15979569178065556</v>
      </c>
    </row>
    <row r="28" spans="2:36" ht="1.05" hidden="1"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0.38842044041457102</v>
      </c>
      <c r="AF28" s="147">
        <v>0.46797880909447076</v>
      </c>
      <c r="AG28" s="147">
        <v>0.43129381818358792</v>
      </c>
      <c r="AH28" s="147">
        <v>0.46996211042729796</v>
      </c>
      <c r="AI28" s="147">
        <v>0.44902672224777396</v>
      </c>
      <c r="AJ28" s="152">
        <v>0.36564289381915693</v>
      </c>
    </row>
    <row r="29" spans="2:36" ht="1.05" hidden="1"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52">
        <v>0.24249812060483178</v>
      </c>
    </row>
    <row r="30" spans="2:36" ht="1.05" hidden="1"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1.05" hidden="1"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0.20531230398190789</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8" spans="10:36" ht="35.25" hidden="1" thickBot="1">
      <c r="J68" s="214" t="s">
        <v>131</v>
      </c>
      <c r="K68" s="21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hidden="1">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hidden="1">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hidden="1">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7.25" hidden="1"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7.25" hidden="1"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J24:K24"/>
    <mergeCell ref="B1:E3"/>
    <mergeCell ref="F1:H1"/>
    <mergeCell ref="J2:K2"/>
    <mergeCell ref="J11:K11"/>
    <mergeCell ref="J15:K15"/>
    <mergeCell ref="J73:K73"/>
    <mergeCell ref="J26:K26"/>
    <mergeCell ref="J27:K27"/>
    <mergeCell ref="J28:K28"/>
    <mergeCell ref="J29:K29"/>
    <mergeCell ref="J30:K30"/>
    <mergeCell ref="J31:K31"/>
    <mergeCell ref="J68:K68"/>
    <mergeCell ref="J69:K69"/>
    <mergeCell ref="J70:K70"/>
    <mergeCell ref="J71:K71"/>
    <mergeCell ref="J72:K72"/>
  </mergeCells>
  <phoneticPr fontId="13" type="noConversion"/>
  <conditionalFormatting sqref="C16:G23">
    <cfRule type="cellIs" dxfId="44" priority="6" operator="between">
      <formula>7</formula>
      <formula>8</formula>
    </cfRule>
    <cfRule type="cellIs" dxfId="43" priority="7" operator="between">
      <formula>1</formula>
      <formula>2</formula>
    </cfRule>
  </conditionalFormatting>
  <conditionalFormatting sqref="F3">
    <cfRule type="cellIs" dxfId="42" priority="2" operator="equal">
      <formula>"GOOD"</formula>
    </cfRule>
    <cfRule type="cellIs" dxfId="41" priority="4" operator="equal">
      <formula>"GOOD"</formula>
    </cfRule>
    <cfRule type="top10" dxfId="40" priority="5" percent="1" rank="10"/>
  </conditionalFormatting>
  <conditionalFormatting sqref="G3">
    <cfRule type="cellIs" dxfId="39" priority="1" operator="equal">
      <formula>"BAD"</formula>
    </cfRule>
    <cfRule type="cellIs" dxfId="38" priority="3" operator="equal">
      <formula>"BAD"</formula>
    </cfRule>
  </conditionalFormatting>
  <pageMargins left="0.7" right="0.7" top="0.75" bottom="0.75" header="0.3" footer="0.3"/>
  <pageSetup paperSize="9" orientation="portrait" horizontalDpi="360" verticalDpi="360"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100AB-0CBE-C941-B9E1-4C96E77F0E12}">
  <dimension ref="B1:AJ73"/>
  <sheetViews>
    <sheetView topLeftCell="G59" zoomScale="66" zoomScaleNormal="55" workbookViewId="0">
      <selection activeCell="B15" sqref="B15:G2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B1" s="179"/>
      <c r="C1" s="179"/>
      <c r="D1" s="179"/>
      <c r="E1" s="179"/>
      <c r="F1" s="218"/>
      <c r="G1" s="219"/>
      <c r="H1" s="219"/>
    </row>
    <row r="2" spans="2:36" ht="24" customHeight="1" thickBot="1">
      <c r="B2" s="255" t="s">
        <v>125</v>
      </c>
      <c r="C2" s="256"/>
      <c r="D2" s="257"/>
      <c r="E2" s="179"/>
      <c r="J2" s="226" t="s">
        <v>60</v>
      </c>
      <c r="K2" s="227"/>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58"/>
      <c r="C3" s="259"/>
      <c r="D3" s="260"/>
      <c r="E3" s="179"/>
      <c r="F3" s="188" t="s">
        <v>130</v>
      </c>
      <c r="G3" s="189" t="s">
        <v>129</v>
      </c>
      <c r="J3" s="48" t="s">
        <v>81</v>
      </c>
      <c r="K3" s="190" t="s">
        <v>104</v>
      </c>
      <c r="L3" s="42">
        <v>0</v>
      </c>
      <c r="M3" s="147">
        <v>2.8493150684931523E-2</v>
      </c>
      <c r="N3" s="147">
        <v>-2.082191780821907E-2</v>
      </c>
      <c r="O3" s="147">
        <v>-0.30520547945205467</v>
      </c>
      <c r="P3" s="147">
        <v>-0.24876712328767103</v>
      </c>
      <c r="Q3" s="147">
        <v>-0.28821917808219166</v>
      </c>
      <c r="R3" s="147">
        <v>-0.34027397260273973</v>
      </c>
      <c r="S3" s="147">
        <v>-0.22301369863013698</v>
      </c>
      <c r="T3" s="147">
        <v>-0.20931506849315062</v>
      </c>
      <c r="U3" s="147">
        <v>-0.30301369863013694</v>
      </c>
      <c r="V3" s="147">
        <v>-0.11561643835616431</v>
      </c>
      <c r="W3" s="147">
        <v>-0.12438356164383557</v>
      </c>
      <c r="X3" s="147">
        <v>-0.19178082191780821</v>
      </c>
      <c r="Y3" s="147">
        <v>-0.25260273972602731</v>
      </c>
      <c r="Z3" s="147">
        <v>-0.19013698630136988</v>
      </c>
      <c r="AA3" s="147">
        <v>-1.69863013698629E-2</v>
      </c>
      <c r="AB3" s="147">
        <v>-8.2191780821917693E-2</v>
      </c>
      <c r="AC3" s="147">
        <v>-0.19287671232876702</v>
      </c>
      <c r="AD3" s="147">
        <v>-0.29808219178082185</v>
      </c>
      <c r="AE3" s="147">
        <v>-0.38904109589041092</v>
      </c>
      <c r="AF3" s="147">
        <v>-0.31890410958904114</v>
      </c>
      <c r="AG3" s="147">
        <v>-0.24712328767123293</v>
      </c>
      <c r="AH3" s="147">
        <v>-0.22027397260273973</v>
      </c>
      <c r="AI3" s="147">
        <v>-0.14082191780821918</v>
      </c>
      <c r="AJ3" s="152">
        <v>-0.15890410958904111</v>
      </c>
    </row>
    <row r="4" spans="2:36" ht="24" customHeight="1" thickBot="1">
      <c r="J4" s="43" t="s">
        <v>81</v>
      </c>
      <c r="K4" s="191" t="s">
        <v>99</v>
      </c>
      <c r="L4" s="45">
        <v>0</v>
      </c>
      <c r="M4" s="147">
        <v>2.0032995522036412E-2</v>
      </c>
      <c r="N4" s="147">
        <v>1.1784115012962726E-3</v>
      </c>
      <c r="O4" s="147">
        <v>-0.21140702333254768</v>
      </c>
      <c r="P4" s="147">
        <v>-0.16780579778458626</v>
      </c>
      <c r="Q4" s="147">
        <v>-0.19868017911854818</v>
      </c>
      <c r="R4" s="147">
        <v>-0.32665566815932123</v>
      </c>
      <c r="S4" s="147">
        <v>-0.20645769502710343</v>
      </c>
      <c r="T4" s="147">
        <v>-0.12868253594155077</v>
      </c>
      <c r="U4" s="147">
        <v>-0.2649069054913975</v>
      </c>
      <c r="V4" s="147">
        <v>-0.21894885694084365</v>
      </c>
      <c r="W4" s="147">
        <v>-0.26302144708932351</v>
      </c>
      <c r="X4" s="147">
        <v>-0.2858826302144708</v>
      </c>
      <c r="Y4" s="147">
        <v>-0.33160499646476538</v>
      </c>
      <c r="Z4" s="147">
        <v>-0.34103228847513534</v>
      </c>
      <c r="AA4" s="147">
        <v>-0.20103700212114051</v>
      </c>
      <c r="AB4" s="147">
        <v>-0.24228140466650938</v>
      </c>
      <c r="AC4" s="147">
        <v>-0.29908083902898874</v>
      </c>
      <c r="AD4" s="147">
        <v>-0.39948149893942952</v>
      </c>
      <c r="AE4" s="147">
        <v>-0.50412444025453684</v>
      </c>
      <c r="AF4" s="147">
        <v>-0.4296488333726135</v>
      </c>
      <c r="AG4" s="147">
        <v>-0.35564459109120872</v>
      </c>
      <c r="AH4" s="147">
        <v>-0.32901249116191345</v>
      </c>
      <c r="AI4" s="147">
        <v>-0.23073297195380593</v>
      </c>
      <c r="AJ4" s="152">
        <v>-0.34480320527928321</v>
      </c>
    </row>
    <row r="5" spans="2:36" ht="24" customHeight="1">
      <c r="B5" s="51"/>
      <c r="C5" s="50">
        <v>2021</v>
      </c>
      <c r="D5" s="50">
        <v>2022</v>
      </c>
      <c r="E5" s="50">
        <v>2023</v>
      </c>
      <c r="F5" s="50">
        <v>2024</v>
      </c>
      <c r="G5" s="49">
        <v>2025</v>
      </c>
      <c r="J5" s="44" t="s">
        <v>82</v>
      </c>
      <c r="K5" s="192" t="s">
        <v>101</v>
      </c>
      <c r="L5" s="46">
        <v>0</v>
      </c>
      <c r="M5" s="147">
        <v>0.12969628796400445</v>
      </c>
      <c r="N5" s="147">
        <v>5.9955005624297009E-2</v>
      </c>
      <c r="O5" s="147">
        <v>0.37289088863891995</v>
      </c>
      <c r="P5" s="147">
        <v>0.34488188976377954</v>
      </c>
      <c r="Q5" s="147">
        <v>-3.4083239595050552E-2</v>
      </c>
      <c r="R5" s="147">
        <v>-0.15950506186726654</v>
      </c>
      <c r="S5" s="147">
        <v>-0.27154105736782885</v>
      </c>
      <c r="T5" s="147">
        <v>-0.25106861642294709</v>
      </c>
      <c r="U5" s="147">
        <v>-8.7514060742406974E-2</v>
      </c>
      <c r="V5" s="147">
        <v>-0.13397075365579292</v>
      </c>
      <c r="W5" s="147">
        <v>-0.1960629921259841</v>
      </c>
      <c r="X5" s="147">
        <v>-0.1627671541057365</v>
      </c>
      <c r="Y5" s="147">
        <v>-0.39268841394825627</v>
      </c>
      <c r="Z5" s="147">
        <v>-0.40787401574803139</v>
      </c>
      <c r="AA5" s="147">
        <v>-0.43498312710911136</v>
      </c>
      <c r="AB5" s="147">
        <v>-0.36929133858267715</v>
      </c>
      <c r="AC5" s="147">
        <v>-0.52665916760404952</v>
      </c>
      <c r="AD5" s="147">
        <v>-0.38065241844769404</v>
      </c>
      <c r="AE5" s="147">
        <v>-0.26872890888638923</v>
      </c>
      <c r="AF5" s="147">
        <v>-7.9415073115860602E-2</v>
      </c>
      <c r="AG5" s="147">
        <v>5.8717660292463503E-2</v>
      </c>
      <c r="AH5" s="147">
        <v>0.152193475815523</v>
      </c>
      <c r="AI5" s="147">
        <v>-0.17322834645669305</v>
      </c>
      <c r="AJ5" s="152">
        <v>-0.41901012373453328</v>
      </c>
    </row>
    <row r="6" spans="2:36" ht="24" customHeight="1">
      <c r="B6" s="47" t="s">
        <v>69</v>
      </c>
      <c r="C6" s="170">
        <v>0.76700000000000002</v>
      </c>
      <c r="D6" s="171">
        <v>0.83399999999999996</v>
      </c>
      <c r="E6" s="171">
        <v>0.83499999999999996</v>
      </c>
      <c r="F6" s="171">
        <v>0.84899999999999998</v>
      </c>
      <c r="G6" s="172">
        <v>0.83599999999999997</v>
      </c>
      <c r="H6" s="1"/>
      <c r="J6" s="43" t="s">
        <v>82</v>
      </c>
      <c r="K6" s="191" t="s">
        <v>100</v>
      </c>
      <c r="L6" s="45">
        <v>0</v>
      </c>
      <c r="M6" s="147">
        <v>3.5748331744518601E-2</v>
      </c>
      <c r="N6" s="147">
        <v>7.0781696854146814E-2</v>
      </c>
      <c r="O6" s="147">
        <v>0.26739752144899898</v>
      </c>
      <c r="P6" s="147">
        <v>0.15896091515729283</v>
      </c>
      <c r="Q6" s="147">
        <v>2.3832221163022638E-4</v>
      </c>
      <c r="R6" s="147">
        <v>-0.1163012392755004</v>
      </c>
      <c r="S6" s="147">
        <v>-0.24618684461391793</v>
      </c>
      <c r="T6" s="147">
        <v>-9.8903717826501203E-2</v>
      </c>
      <c r="U6" s="147">
        <v>-6.8875119161105669E-2</v>
      </c>
      <c r="V6" s="147">
        <v>-0.14609151572926593</v>
      </c>
      <c r="W6" s="147">
        <v>-0.10891325071496649</v>
      </c>
      <c r="X6" s="147">
        <v>2.4547187797902881E-2</v>
      </c>
      <c r="Y6" s="147">
        <v>2.5262154432793116E-2</v>
      </c>
      <c r="Z6" s="147">
        <v>1.4299332697806921E-3</v>
      </c>
      <c r="AA6" s="147">
        <v>-3.7178265014299439E-2</v>
      </c>
      <c r="AB6" s="147">
        <v>-0.10557673975214499</v>
      </c>
      <c r="AC6" s="147">
        <v>-0.13941849380362259</v>
      </c>
      <c r="AD6" s="147">
        <v>7.7454718779790266E-2</v>
      </c>
      <c r="AE6" s="147">
        <v>0.14180171591992341</v>
      </c>
      <c r="AF6" s="147">
        <v>0.25357483317445162</v>
      </c>
      <c r="AG6" s="147">
        <v>0.5431363203050521</v>
      </c>
      <c r="AH6" s="147">
        <v>0.74571020019065726</v>
      </c>
      <c r="AI6" s="147">
        <v>0.72259294566253529</v>
      </c>
      <c r="AJ6" s="152">
        <v>0.17302192564346974</v>
      </c>
    </row>
    <row r="7" spans="2:36" ht="24" customHeight="1">
      <c r="B7" s="47" t="s">
        <v>70</v>
      </c>
      <c r="C7" s="173">
        <v>0.81599999999999995</v>
      </c>
      <c r="D7" s="174">
        <v>0.83400000000000007</v>
      </c>
      <c r="E7" s="174">
        <v>0.8</v>
      </c>
      <c r="F7" s="174">
        <v>0.80400000000000005</v>
      </c>
      <c r="G7" s="175">
        <v>0.77400000000000002</v>
      </c>
      <c r="H7" s="1"/>
      <c r="J7" s="44" t="s">
        <v>83</v>
      </c>
      <c r="K7" s="192" t="s">
        <v>101</v>
      </c>
      <c r="L7" s="46">
        <v>0</v>
      </c>
      <c r="M7" s="147">
        <v>-0.27462044874378611</v>
      </c>
      <c r="N7" s="147">
        <v>-0.29275829638586592</v>
      </c>
      <c r="O7" s="147">
        <v>-0.32513771328765295</v>
      </c>
      <c r="P7" s="147">
        <v>-0.24667472793228551</v>
      </c>
      <c r="Q7" s="147">
        <v>-0.43463657127502364</v>
      </c>
      <c r="R7" s="147">
        <v>-0.26024452505710072</v>
      </c>
      <c r="S7" s="147">
        <v>-0.12656187021362364</v>
      </c>
      <c r="T7" s="147">
        <v>9.9556630390971179E-2</v>
      </c>
      <c r="U7" s="147">
        <v>0.2645438667204083</v>
      </c>
      <c r="V7" s="147">
        <v>0.37619239553943284</v>
      </c>
      <c r="W7" s="147">
        <v>-1.2494961708988561E-2</v>
      </c>
      <c r="X7" s="147">
        <v>-0.30605938465672455</v>
      </c>
      <c r="Y7" s="147">
        <v>-0.36947467419051472</v>
      </c>
      <c r="Z7" s="147">
        <v>-0.25325809485422557</v>
      </c>
      <c r="AA7" s="147">
        <v>-0.26172242375386279</v>
      </c>
      <c r="AB7" s="147">
        <v>-0.30619373908370295</v>
      </c>
      <c r="AC7" s="147">
        <v>-0.15813516055354049</v>
      </c>
      <c r="AD7" s="147">
        <v>-0.18352814725245215</v>
      </c>
      <c r="AE7" s="147">
        <v>-0.16458417304850226</v>
      </c>
      <c r="AF7" s="147">
        <v>2.1093645035603403E-2</v>
      </c>
      <c r="AG7" s="147">
        <v>0.14564019884455148</v>
      </c>
      <c r="AH7" s="147">
        <v>0.19078328630928332</v>
      </c>
      <c r="AI7" s="147">
        <v>0.37243047158403808</v>
      </c>
      <c r="AJ7" s="152">
        <v>8.8808276232701377E-2</v>
      </c>
    </row>
    <row r="8" spans="2:36" ht="24" customHeight="1">
      <c r="B8" s="47" t="s">
        <v>71</v>
      </c>
      <c r="C8" s="173">
        <v>0.75900000000000001</v>
      </c>
      <c r="D8" s="174">
        <v>0.80900000000000005</v>
      </c>
      <c r="E8" s="174">
        <v>0.81399999999999995</v>
      </c>
      <c r="F8" s="174">
        <v>0.76800000000000002</v>
      </c>
      <c r="G8" s="175">
        <v>0.78400000000000003</v>
      </c>
      <c r="J8" s="43" t="s">
        <v>83</v>
      </c>
      <c r="K8" s="191" t="s">
        <v>96</v>
      </c>
      <c r="L8" s="45">
        <v>0</v>
      </c>
      <c r="M8" s="147">
        <v>7.4770258980785265E-2</v>
      </c>
      <c r="N8" s="147">
        <v>0.10672514619883056</v>
      </c>
      <c r="O8" s="147">
        <v>1.6290726817042689E-2</v>
      </c>
      <c r="P8" s="147">
        <v>-5.1378446115288079E-2</v>
      </c>
      <c r="Q8" s="147">
        <v>-8.0200501253132717E-2</v>
      </c>
      <c r="R8" s="147">
        <v>0.19172932330827086</v>
      </c>
      <c r="S8" s="147">
        <v>0.63450292397660846</v>
      </c>
      <c r="T8" s="147">
        <v>1.0223475355054301</v>
      </c>
      <c r="U8" s="147">
        <v>1.0279866332497911</v>
      </c>
      <c r="V8" s="147">
        <v>1.2105263157894739</v>
      </c>
      <c r="W8" s="147">
        <v>0.95927318295739372</v>
      </c>
      <c r="X8" s="147">
        <v>0.44214703425229751</v>
      </c>
      <c r="Y8" s="147">
        <v>0.43734335839599003</v>
      </c>
      <c r="Z8" s="147">
        <v>0.65914786967418548</v>
      </c>
      <c r="AA8" s="147">
        <v>0.66311612364243966</v>
      </c>
      <c r="AB8" s="147">
        <v>0.84440267335004227</v>
      </c>
      <c r="AC8" s="147">
        <v>1.1929824561403515</v>
      </c>
      <c r="AD8" s="147">
        <v>1.0154553049289894</v>
      </c>
      <c r="AE8" s="147">
        <v>0.96407685881370142</v>
      </c>
      <c r="AF8" s="147">
        <v>1.1294903926482878</v>
      </c>
      <c r="AG8" s="147">
        <v>1.3354218880534678</v>
      </c>
      <c r="AH8" s="147">
        <v>1.1370091896407692</v>
      </c>
      <c r="AI8" s="147">
        <v>1.2201336675020893</v>
      </c>
      <c r="AJ8" s="152">
        <v>0.92293233082706805</v>
      </c>
    </row>
    <row r="9" spans="2:36" ht="24" customHeight="1">
      <c r="B9" s="47" t="s">
        <v>72</v>
      </c>
      <c r="C9" s="173">
        <v>0.70299999999999996</v>
      </c>
      <c r="D9" s="174">
        <v>0.85</v>
      </c>
      <c r="E9" s="174">
        <v>0.85899999999999999</v>
      </c>
      <c r="F9" s="174">
        <v>0.83599999999999997</v>
      </c>
      <c r="G9" s="175">
        <v>0.82</v>
      </c>
      <c r="J9" s="44" t="s">
        <v>84</v>
      </c>
      <c r="K9" s="190" t="s">
        <v>96</v>
      </c>
      <c r="L9" s="42">
        <v>0</v>
      </c>
      <c r="M9" s="147">
        <v>-3.3309196234613259E-3</v>
      </c>
      <c r="N9" s="147">
        <v>0.15047067342505427</v>
      </c>
      <c r="O9" s="147">
        <v>0.1532223026792181</v>
      </c>
      <c r="P9" s="147">
        <v>0.27892831281679986</v>
      </c>
      <c r="Q9" s="147">
        <v>0.52063721940622787</v>
      </c>
      <c r="R9" s="147">
        <v>0.39753801593048554</v>
      </c>
      <c r="S9" s="147">
        <v>0.36191165821868254</v>
      </c>
      <c r="T9" s="147">
        <v>0.47661115133960918</v>
      </c>
      <c r="U9" s="147">
        <v>0.61940622737147022</v>
      </c>
      <c r="V9" s="147">
        <v>0.48182476466328783</v>
      </c>
      <c r="W9" s="147">
        <v>0.53946415640839995</v>
      </c>
      <c r="X9" s="147">
        <v>0.33338160753077495</v>
      </c>
      <c r="Y9" s="147">
        <v>0.30340333091962357</v>
      </c>
      <c r="Z9" s="147">
        <v>0.63099203475742249</v>
      </c>
      <c r="AJ9" s="41"/>
    </row>
    <row r="10" spans="2:36" ht="24" customHeight="1" thickBot="1">
      <c r="B10" s="63" t="s">
        <v>75</v>
      </c>
      <c r="C10" s="173">
        <v>0.76</v>
      </c>
      <c r="D10" s="174">
        <v>0.81499999999999995</v>
      </c>
      <c r="E10" s="174">
        <v>0.82599999999999996</v>
      </c>
      <c r="F10" s="174">
        <v>0.83199999999999996</v>
      </c>
      <c r="G10" s="175">
        <v>0.82399999999999995</v>
      </c>
      <c r="J10" s="43" t="s">
        <v>84</v>
      </c>
      <c r="K10" s="190" t="s">
        <v>102</v>
      </c>
      <c r="L10" s="42">
        <v>0</v>
      </c>
      <c r="M10" s="147">
        <v>-4.5158286778398504E-2</v>
      </c>
      <c r="N10" s="147">
        <v>0.10986964618249528</v>
      </c>
      <c r="O10" s="147">
        <v>0.13128491620111715</v>
      </c>
      <c r="P10" s="147">
        <v>0.22392923649906882</v>
      </c>
      <c r="Q10" s="147">
        <v>0.42597765363128492</v>
      </c>
      <c r="R10" s="147">
        <v>0.30982309124767227</v>
      </c>
      <c r="S10" s="147">
        <v>0.32448789571694592</v>
      </c>
      <c r="T10" s="147">
        <v>0.48417132216014891</v>
      </c>
      <c r="U10" s="147">
        <v>0.60684357541899447</v>
      </c>
      <c r="V10" s="147">
        <v>0.52560521415270034</v>
      </c>
      <c r="W10" s="147">
        <v>0.52118249534450634</v>
      </c>
      <c r="X10" s="147">
        <v>0.54329608938547458</v>
      </c>
      <c r="Y10" s="147">
        <v>0.57844506517690863</v>
      </c>
      <c r="Z10" s="147">
        <v>0.89897579143389184</v>
      </c>
      <c r="AA10" s="153"/>
      <c r="AB10" s="153"/>
      <c r="AC10" s="153"/>
      <c r="AD10" s="153"/>
      <c r="AE10" s="153"/>
      <c r="AF10" s="153"/>
      <c r="AG10" s="153"/>
      <c r="AH10" s="153"/>
      <c r="AI10" s="153"/>
      <c r="AJ10" s="154"/>
    </row>
    <row r="11" spans="2:36" ht="24" customHeight="1" thickBot="1">
      <c r="B11" s="47" t="s">
        <v>76</v>
      </c>
      <c r="C11" s="173">
        <v>0.73599999999999999</v>
      </c>
      <c r="D11" s="174">
        <v>0.84499999999999997</v>
      </c>
      <c r="E11" s="174">
        <v>0.83699999999999997</v>
      </c>
      <c r="F11" s="174">
        <v>0.83899999999999997</v>
      </c>
      <c r="G11" s="175">
        <v>0.82899999999999996</v>
      </c>
      <c r="J11" s="216" t="s">
        <v>58</v>
      </c>
      <c r="K11" s="217"/>
      <c r="L11" s="40">
        <v>0</v>
      </c>
      <c r="M11" s="39">
        <f t="shared" ref="M11:AJ11" si="0">AVERAGE(M3:M10)</f>
        <v>-4.2960787811712094E-3</v>
      </c>
      <c r="N11" s="39">
        <f t="shared" si="0"/>
        <v>2.3175045699004401E-2</v>
      </c>
      <c r="O11" s="39">
        <f t="shared" si="0"/>
        <v>1.2417017464130195E-2</v>
      </c>
      <c r="P11" s="39">
        <f t="shared" si="0"/>
        <v>3.650928238963877E-2</v>
      </c>
      <c r="Q11" s="39">
        <f t="shared" si="0"/>
        <v>-1.1120809259350467E-2</v>
      </c>
      <c r="R11" s="39">
        <f t="shared" si="0"/>
        <v>-3.7986254559437493E-2</v>
      </c>
      <c r="S11" s="39">
        <f t="shared" si="0"/>
        <v>3.0892664007453247E-2</v>
      </c>
      <c r="T11" s="39">
        <f t="shared" si="0"/>
        <v>0.1743395875890012</v>
      </c>
      <c r="U11" s="39">
        <f t="shared" si="0"/>
        <v>0.22430881484195211</v>
      </c>
      <c r="V11" s="39">
        <f t="shared" si="0"/>
        <v>0.2474401406828535</v>
      </c>
      <c r="W11" s="39">
        <f t="shared" si="0"/>
        <v>0.16438045267840024</v>
      </c>
      <c r="X11" s="39">
        <f t="shared" si="0"/>
        <v>4.9610241008963732E-2</v>
      </c>
      <c r="Y11" s="39">
        <f t="shared" si="0"/>
        <v>-2.3961442553105394E-4</v>
      </c>
      <c r="Z11" s="39">
        <f t="shared" si="0"/>
        <v>0.1247805304695648</v>
      </c>
      <c r="AA11" s="39">
        <f t="shared" si="0"/>
        <v>-4.8131832620972891E-2</v>
      </c>
      <c r="AB11" s="39">
        <f t="shared" si="0"/>
        <v>-4.3522054926151653E-2</v>
      </c>
      <c r="AC11" s="39">
        <f t="shared" si="0"/>
        <v>-2.053131952976946E-2</v>
      </c>
      <c r="AD11" s="39">
        <f t="shared" si="0"/>
        <v>-2.813903878526965E-2</v>
      </c>
      <c r="AE11" s="39">
        <f t="shared" si="0"/>
        <v>-3.6766673891035717E-2</v>
      </c>
      <c r="AF11" s="39">
        <f t="shared" si="0"/>
        <v>9.6031809130137924E-2</v>
      </c>
      <c r="AG11" s="39">
        <f t="shared" si="0"/>
        <v>0.2466913647888489</v>
      </c>
      <c r="AH11" s="39">
        <f t="shared" si="0"/>
        <v>0.27940161469859665</v>
      </c>
      <c r="AI11" s="39">
        <f t="shared" si="0"/>
        <v>0.29506230808832407</v>
      </c>
      <c r="AJ11" s="38">
        <f t="shared" si="0"/>
        <v>4.3674182350063595E-2</v>
      </c>
    </row>
    <row r="12" spans="2:36" ht="24" customHeight="1">
      <c r="B12" s="64" t="s">
        <v>74</v>
      </c>
      <c r="C12" s="173">
        <v>0.72199999999999998</v>
      </c>
      <c r="D12" s="174">
        <v>0.80600000000000005</v>
      </c>
      <c r="E12" s="174">
        <v>0.85099999999999998</v>
      </c>
      <c r="F12" s="174">
        <v>0.86399999999999999</v>
      </c>
      <c r="G12" s="175">
        <v>0.872</v>
      </c>
    </row>
    <row r="13" spans="2:36" ht="24" customHeight="1" thickBot="1">
      <c r="B13" s="65" t="s">
        <v>73</v>
      </c>
      <c r="C13" s="176">
        <v>0.69</v>
      </c>
      <c r="D13" s="177">
        <v>0.83</v>
      </c>
      <c r="E13" s="177">
        <v>0.85</v>
      </c>
      <c r="F13" s="177">
        <v>0.86</v>
      </c>
      <c r="G13" s="178">
        <v>0.87</v>
      </c>
    </row>
    <row r="14" spans="2:36" ht="24" customHeight="1" thickBot="1"/>
    <row r="15" spans="2:36" ht="24" customHeight="1" thickBot="1">
      <c r="B15" s="51"/>
      <c r="C15" s="50">
        <v>2021</v>
      </c>
      <c r="D15" s="50">
        <v>2022</v>
      </c>
      <c r="E15" s="50">
        <v>2023</v>
      </c>
      <c r="F15" s="50">
        <v>2024</v>
      </c>
      <c r="G15" s="49">
        <v>2025</v>
      </c>
      <c r="J15" s="228" t="s">
        <v>59</v>
      </c>
      <c r="K15" s="229"/>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2</v>
      </c>
      <c r="D16" s="84">
        <v>4</v>
      </c>
      <c r="E16" s="84">
        <v>5</v>
      </c>
      <c r="F16" s="84">
        <v>3</v>
      </c>
      <c r="G16" s="85">
        <v>3</v>
      </c>
      <c r="J16" s="185" t="s">
        <v>81</v>
      </c>
      <c r="K16" s="200" t="s">
        <v>101</v>
      </c>
      <c r="L16" s="186">
        <v>0</v>
      </c>
      <c r="M16" s="149">
        <v>-4.4342507645259932E-2</v>
      </c>
      <c r="N16" s="149">
        <v>-7.9701834862385357E-2</v>
      </c>
      <c r="O16" s="149">
        <v>-0.30358053007135566</v>
      </c>
      <c r="P16" s="149">
        <v>-0.28994648318042804</v>
      </c>
      <c r="Q16" s="149">
        <v>-0.40577217125382259</v>
      </c>
      <c r="R16" s="149">
        <v>-0.55058613659531086</v>
      </c>
      <c r="S16" s="149">
        <v>-0.53784403669724756</v>
      </c>
      <c r="T16" s="149">
        <v>-0.4912716615698266</v>
      </c>
      <c r="U16" s="149">
        <v>-0.58135830784913356</v>
      </c>
      <c r="V16" s="149">
        <v>-0.47024719673802229</v>
      </c>
      <c r="W16" s="149">
        <v>-0.36850152905198763</v>
      </c>
      <c r="X16" s="149">
        <v>-0.43361365953109066</v>
      </c>
      <c r="Y16" s="149">
        <v>-0.36015545361875634</v>
      </c>
      <c r="Z16" s="149">
        <v>-0.39965596330275222</v>
      </c>
      <c r="AA16" s="149">
        <v>-0.22241335372069315</v>
      </c>
      <c r="AB16" s="149">
        <v>-0.2382772680937818</v>
      </c>
      <c r="AC16" s="149">
        <v>-0.45291794087665638</v>
      </c>
      <c r="AD16" s="149">
        <v>-0.52395514780835883</v>
      </c>
      <c r="AE16" s="149">
        <v>-0.58741080530071343</v>
      </c>
      <c r="AF16" s="149">
        <v>-0.57581549439347612</v>
      </c>
      <c r="AG16" s="149">
        <v>-0.48318042813455653</v>
      </c>
      <c r="AH16" s="149">
        <v>-0.50949286442405706</v>
      </c>
      <c r="AI16" s="149">
        <v>-0.54466106014271154</v>
      </c>
      <c r="AJ16" s="150">
        <v>-0.52580275229357787</v>
      </c>
    </row>
    <row r="17" spans="2:36" ht="24" customHeight="1">
      <c r="B17" s="47" t="s">
        <v>70</v>
      </c>
      <c r="C17" s="84">
        <v>1</v>
      </c>
      <c r="D17" s="84">
        <v>3</v>
      </c>
      <c r="E17" s="84">
        <v>8</v>
      </c>
      <c r="F17" s="84">
        <v>7</v>
      </c>
      <c r="G17" s="85">
        <v>8</v>
      </c>
      <c r="J17" s="43" t="s">
        <v>81</v>
      </c>
      <c r="K17" s="198" t="s">
        <v>102</v>
      </c>
      <c r="L17" s="45">
        <v>0</v>
      </c>
      <c r="M17" s="147">
        <v>8.7490206320188113E-2</v>
      </c>
      <c r="N17" s="147">
        <v>5.3538782972055499E-2</v>
      </c>
      <c r="O17" s="147">
        <v>-0.26795507965526244</v>
      </c>
      <c r="P17" s="147">
        <v>-0.19639592582919829</v>
      </c>
      <c r="Q17" s="147">
        <v>-0.2149386262731785</v>
      </c>
      <c r="R17" s="147">
        <v>-0.29093758161399852</v>
      </c>
      <c r="S17" s="147">
        <v>-0.14259597806215729</v>
      </c>
      <c r="T17" s="147">
        <v>-0.10603290676416832</v>
      </c>
      <c r="U17" s="147">
        <v>-0.16949595194567779</v>
      </c>
      <c r="V17" s="147">
        <v>-1.2013580569339322E-2</v>
      </c>
      <c r="W17" s="147">
        <v>-3.1078610603290646E-2</v>
      </c>
      <c r="X17" s="147">
        <v>-0.1175241577435362</v>
      </c>
      <c r="Y17" s="147">
        <v>-0.1329328806476886</v>
      </c>
      <c r="Z17" s="147">
        <v>-8.2005745625489679E-2</v>
      </c>
      <c r="AA17" s="147">
        <v>0.2013580569339255</v>
      </c>
      <c r="AB17" s="147">
        <v>0.16897362235570657</v>
      </c>
      <c r="AC17" s="147">
        <v>8.5923217550274211E-2</v>
      </c>
      <c r="AD17" s="147">
        <v>-6.2940715591538243E-2</v>
      </c>
      <c r="AE17" s="147">
        <v>-0.20867067119352312</v>
      </c>
      <c r="AF17" s="147">
        <v>-6.2157221206581403E-2</v>
      </c>
      <c r="AG17" s="147">
        <v>2.1676677983807568E-2</v>
      </c>
      <c r="AH17" s="147">
        <v>-6.0067902846696608E-3</v>
      </c>
      <c r="AI17" s="147">
        <v>7.3387307390963663E-2</v>
      </c>
      <c r="AJ17" s="152">
        <v>0.21859493340297709</v>
      </c>
    </row>
    <row r="18" spans="2:36" ht="24" customHeight="1">
      <c r="B18" s="47" t="s">
        <v>71</v>
      </c>
      <c r="C18" s="86">
        <v>4</v>
      </c>
      <c r="D18" s="86">
        <v>7</v>
      </c>
      <c r="E18" s="86">
        <v>7</v>
      </c>
      <c r="F18" s="86">
        <v>8</v>
      </c>
      <c r="G18" s="87">
        <v>7</v>
      </c>
      <c r="J18" s="44" t="s">
        <v>82</v>
      </c>
      <c r="K18" s="199" t="s">
        <v>98</v>
      </c>
      <c r="L18" s="46">
        <v>0</v>
      </c>
      <c r="M18" s="147">
        <v>-3.5569105691056868E-2</v>
      </c>
      <c r="N18" s="147">
        <v>-0.16361788617886164</v>
      </c>
      <c r="O18" s="147">
        <v>-1.7276422764227584E-2</v>
      </c>
      <c r="P18" s="147">
        <v>-5.4878048780487743E-2</v>
      </c>
      <c r="Q18" s="147">
        <v>-0.36178861788617878</v>
      </c>
      <c r="R18" s="147">
        <v>-0.50813008130081294</v>
      </c>
      <c r="S18" s="147">
        <v>-0.65548780487804881</v>
      </c>
      <c r="T18" s="147">
        <v>-0.60264227642276413</v>
      </c>
      <c r="U18" s="147">
        <v>-0.44512195121951215</v>
      </c>
      <c r="V18" s="147">
        <v>-0.50508130081300806</v>
      </c>
      <c r="W18" s="147">
        <v>-0.2947154471544714</v>
      </c>
      <c r="X18" s="147">
        <v>-0.17581300813008116</v>
      </c>
      <c r="Y18" s="147">
        <v>-0.38617886178861771</v>
      </c>
      <c r="Z18" s="147">
        <v>-0.44410569105691045</v>
      </c>
      <c r="AA18" s="147">
        <v>-0.4989837398373983</v>
      </c>
      <c r="AB18" s="147">
        <v>-0.59949186991869907</v>
      </c>
      <c r="AC18" s="147">
        <v>-0.63109756097560976</v>
      </c>
      <c r="AD18" s="147">
        <v>-0.45630081300813008</v>
      </c>
      <c r="AE18" s="147">
        <v>-0.38211382113821135</v>
      </c>
      <c r="AF18" s="147">
        <v>-0.40752032520325199</v>
      </c>
      <c r="AG18" s="147">
        <v>-0.27743902439024382</v>
      </c>
      <c r="AH18" s="147">
        <v>-0.14329268292682917</v>
      </c>
      <c r="AI18" s="147">
        <v>-0.26829268292682917</v>
      </c>
      <c r="AJ18" s="152">
        <v>-0.55894308943089421</v>
      </c>
    </row>
    <row r="19" spans="2:36" ht="24" customHeight="1">
      <c r="B19" s="47" t="s">
        <v>72</v>
      </c>
      <c r="C19" s="86">
        <v>7</v>
      </c>
      <c r="D19" s="86">
        <v>1</v>
      </c>
      <c r="E19" s="86">
        <v>1</v>
      </c>
      <c r="F19" s="86">
        <v>5</v>
      </c>
      <c r="G19" s="87">
        <v>6</v>
      </c>
      <c r="J19" s="43" t="s">
        <v>82</v>
      </c>
      <c r="K19" s="198" t="s">
        <v>96</v>
      </c>
      <c r="L19" s="45">
        <v>0</v>
      </c>
      <c r="M19" s="147">
        <v>-1.0169491525423791E-2</v>
      </c>
      <c r="N19" s="147">
        <v>7.2768361581920793E-2</v>
      </c>
      <c r="O19" s="147">
        <v>0.23999999999999977</v>
      </c>
      <c r="P19" s="147">
        <v>0.22734463276836148</v>
      </c>
      <c r="Q19" s="147">
        <v>0.12564971751412424</v>
      </c>
      <c r="R19" s="147">
        <v>-4.4067796610169574E-2</v>
      </c>
      <c r="S19" s="147">
        <v>-0.20881355932203394</v>
      </c>
      <c r="T19" s="147">
        <v>-0.10960451977401131</v>
      </c>
      <c r="U19" s="147">
        <v>-6.7570621468926562E-2</v>
      </c>
      <c r="V19" s="147">
        <v>-6.4858757062146832E-2</v>
      </c>
      <c r="W19" s="147">
        <v>2.8022598870056648E-2</v>
      </c>
      <c r="X19" s="147">
        <v>8.2033898305085007E-2</v>
      </c>
      <c r="Y19" s="147">
        <v>0.16293785310734488</v>
      </c>
      <c r="Z19" s="147">
        <v>0.19751412429378568</v>
      </c>
      <c r="AA19" s="147">
        <v>9.9661016949152748E-2</v>
      </c>
      <c r="AB19" s="147">
        <v>2.6440677966101944E-2</v>
      </c>
      <c r="AC19" s="147">
        <v>-4.7457627118642209E-3</v>
      </c>
      <c r="AD19" s="147">
        <v>0.28949152542372913</v>
      </c>
      <c r="AE19" s="147">
        <v>0.76858757062146954</v>
      </c>
      <c r="AF19" s="147">
        <v>1.1882485875706221</v>
      </c>
      <c r="AG19" s="147">
        <v>1.194350282485876</v>
      </c>
      <c r="AH19" s="147">
        <v>1.3918644067796615</v>
      </c>
      <c r="AI19" s="147">
        <v>1.1200000000000006</v>
      </c>
      <c r="AJ19" s="152">
        <v>0.56045197740113029</v>
      </c>
    </row>
    <row r="20" spans="2:36" ht="24" customHeight="1">
      <c r="B20" s="63" t="s">
        <v>75</v>
      </c>
      <c r="C20" s="88">
        <v>3</v>
      </c>
      <c r="D20" s="89">
        <v>6</v>
      </c>
      <c r="E20" s="89">
        <v>6</v>
      </c>
      <c r="F20" s="89">
        <v>6</v>
      </c>
      <c r="G20" s="90">
        <v>5</v>
      </c>
      <c r="J20" s="44" t="s">
        <v>83</v>
      </c>
      <c r="K20" s="199" t="s">
        <v>99</v>
      </c>
      <c r="L20" s="46">
        <v>0</v>
      </c>
      <c r="M20" s="147">
        <v>-0.11986970684039089</v>
      </c>
      <c r="N20" s="147">
        <v>-0.250814332247557</v>
      </c>
      <c r="O20" s="147">
        <v>-0.26188925081433223</v>
      </c>
      <c r="P20" s="147">
        <v>-0.30684039087947879</v>
      </c>
      <c r="Q20" s="147">
        <v>-0.30814332247557008</v>
      </c>
      <c r="R20" s="147">
        <v>-0.26775244299674261</v>
      </c>
      <c r="S20" s="147">
        <v>-0.12703583061889245</v>
      </c>
      <c r="T20" s="147">
        <v>-5.4071661237784951E-2</v>
      </c>
      <c r="U20" s="147">
        <v>0.13550488599348531</v>
      </c>
      <c r="V20" s="147">
        <v>0.10228013029315974</v>
      </c>
      <c r="W20" s="147">
        <v>-6.514657980456029E-2</v>
      </c>
      <c r="X20" s="147">
        <v>-0.31270358306188917</v>
      </c>
      <c r="Y20" s="147">
        <v>-0.35179153094462545</v>
      </c>
      <c r="Z20" s="147">
        <v>-0.25667752442996739</v>
      </c>
      <c r="AA20" s="147">
        <v>-0.2690553745928338</v>
      </c>
      <c r="AB20" s="147">
        <v>-0.25146579804560265</v>
      </c>
      <c r="AC20" s="147">
        <v>-0.12899022801302951</v>
      </c>
      <c r="AD20" s="147">
        <v>-0.26775244299674283</v>
      </c>
      <c r="AE20" s="147">
        <v>-0.14462540716612382</v>
      </c>
      <c r="AF20" s="147">
        <v>-8.4690553745928376E-2</v>
      </c>
      <c r="AG20" s="147">
        <v>-1.3029315960914056E-3</v>
      </c>
      <c r="AH20" s="147">
        <v>-0.13355048859934859</v>
      </c>
      <c r="AI20" s="147">
        <v>-0.14853420195439748</v>
      </c>
      <c r="AJ20" s="152">
        <v>-0.30032573289902287</v>
      </c>
    </row>
    <row r="21" spans="2:36" ht="24" customHeight="1">
      <c r="B21" s="47" t="s">
        <v>76</v>
      </c>
      <c r="C21" s="91">
        <v>5</v>
      </c>
      <c r="D21" s="91">
        <v>2</v>
      </c>
      <c r="E21" s="84">
        <v>4</v>
      </c>
      <c r="F21" s="84">
        <v>4</v>
      </c>
      <c r="G21" s="85">
        <v>4</v>
      </c>
      <c r="J21" s="43" t="s">
        <v>83</v>
      </c>
      <c r="K21" s="198" t="s">
        <v>98</v>
      </c>
      <c r="L21" s="45">
        <v>0</v>
      </c>
      <c r="M21" s="147">
        <v>-0.10683453237410079</v>
      </c>
      <c r="N21" s="147">
        <v>-7.5539568345323715E-2</v>
      </c>
      <c r="O21" s="147">
        <v>-1.4748201438848918E-2</v>
      </c>
      <c r="P21" s="147">
        <v>-6.6546762589928088E-2</v>
      </c>
      <c r="Q21" s="147">
        <v>2.1582733812950394E-3</v>
      </c>
      <c r="R21" s="147">
        <v>2.6978417266187105E-2</v>
      </c>
      <c r="S21" s="147">
        <v>6.6187050359712396E-2</v>
      </c>
      <c r="T21" s="147">
        <v>0.12841726618705041</v>
      </c>
      <c r="U21" s="147">
        <v>0.17230215827338147</v>
      </c>
      <c r="V21" s="147">
        <v>7.6258992805755543E-2</v>
      </c>
      <c r="W21" s="147">
        <v>8.8848920863309422E-2</v>
      </c>
      <c r="X21" s="147">
        <v>0.17697841726618702</v>
      </c>
      <c r="Y21" s="147">
        <v>-1.4028776978417201E-2</v>
      </c>
      <c r="Z21" s="147">
        <v>0.17697841726618702</v>
      </c>
      <c r="AA21" s="147">
        <v>0.14388489208633093</v>
      </c>
      <c r="AB21" s="147">
        <v>9.676258992805753E-2</v>
      </c>
      <c r="AC21" s="147">
        <v>0.16654676258992795</v>
      </c>
      <c r="AD21" s="147">
        <v>0.13165467625899274</v>
      </c>
      <c r="AE21" s="147">
        <v>8.0575539568345178E-2</v>
      </c>
      <c r="AF21" s="147">
        <v>0.24136690647481984</v>
      </c>
      <c r="AG21" s="147">
        <v>0.47374100719424428</v>
      </c>
      <c r="AH21" s="147">
        <v>0.70215827338129477</v>
      </c>
      <c r="AI21" s="147">
        <v>0.76438848920863278</v>
      </c>
      <c r="AJ21" s="152">
        <v>0.34568345323740979</v>
      </c>
    </row>
    <row r="22" spans="2:36" ht="24" customHeight="1">
      <c r="B22" s="64" t="s">
        <v>74</v>
      </c>
      <c r="C22" s="92">
        <v>6</v>
      </c>
      <c r="D22" s="92">
        <v>8</v>
      </c>
      <c r="E22" s="92">
        <v>2</v>
      </c>
      <c r="F22" s="92">
        <v>1</v>
      </c>
      <c r="G22" s="93">
        <v>1</v>
      </c>
      <c r="J22" s="44" t="s">
        <v>84</v>
      </c>
      <c r="K22" s="197" t="s">
        <v>99</v>
      </c>
      <c r="L22" s="42">
        <v>0</v>
      </c>
      <c r="M22" s="147">
        <v>-0.16228606356968212</v>
      </c>
      <c r="N22" s="147">
        <v>0</v>
      </c>
      <c r="O22" s="147">
        <v>-2.8117359413202925E-2</v>
      </c>
      <c r="P22" s="147">
        <v>-6.8154034229828908E-2</v>
      </c>
      <c r="Q22" s="147">
        <v>-8.8630806845966248E-3</v>
      </c>
      <c r="R22" s="147">
        <v>-3.8508557457212711E-2</v>
      </c>
      <c r="S22" s="147">
        <v>-8.1907090464547694E-2</v>
      </c>
      <c r="T22" s="147">
        <v>5.4706601466992577E-2</v>
      </c>
      <c r="U22" s="147">
        <v>0.2521393643031784</v>
      </c>
      <c r="V22" s="147">
        <v>0.44621026894865534</v>
      </c>
      <c r="W22" s="147">
        <v>0.49908312958435208</v>
      </c>
      <c r="X22" s="147">
        <v>0.14333740831295838</v>
      </c>
      <c r="Y22" s="147">
        <v>0.15892420537897323</v>
      </c>
      <c r="Z22" s="147">
        <v>0.3126528117359415</v>
      </c>
      <c r="AJ22" s="41"/>
    </row>
    <row r="23" spans="2:36" ht="24" customHeight="1" thickBot="1">
      <c r="B23" s="65" t="s">
        <v>73</v>
      </c>
      <c r="C23" s="94">
        <v>8</v>
      </c>
      <c r="D23" s="94">
        <v>5</v>
      </c>
      <c r="E23" s="94">
        <v>3</v>
      </c>
      <c r="F23" s="94">
        <v>2</v>
      </c>
      <c r="G23" s="95">
        <v>2</v>
      </c>
      <c r="J23" s="43" t="s">
        <v>84</v>
      </c>
      <c r="K23" s="197" t="s">
        <v>98</v>
      </c>
      <c r="L23" s="42">
        <v>0</v>
      </c>
      <c r="M23" s="147">
        <v>-0.31336405529953915</v>
      </c>
      <c r="N23" s="147">
        <v>-7.373271889400923E-2</v>
      </c>
      <c r="O23" s="147">
        <v>-0.17050691244239624</v>
      </c>
      <c r="P23" s="147">
        <v>9.2165898617511122E-3</v>
      </c>
      <c r="Q23" s="147">
        <v>0.12903225806451624</v>
      </c>
      <c r="R23" s="147">
        <v>1.7281105990783363E-2</v>
      </c>
      <c r="S23" s="147">
        <v>-0.1105990783410139</v>
      </c>
      <c r="T23" s="147">
        <v>5.0691244239631228E-2</v>
      </c>
      <c r="U23" s="147">
        <v>8.5253456221198176E-2</v>
      </c>
      <c r="V23" s="147">
        <v>6.9124423963133452E-2</v>
      </c>
      <c r="W23" s="147">
        <v>2.3041474654377891E-2</v>
      </c>
      <c r="X23" s="147">
        <v>-0.18663594470046097</v>
      </c>
      <c r="Y23" s="147">
        <v>-0.16359447004608307</v>
      </c>
      <c r="Z23" s="147">
        <v>0.39400921658986165</v>
      </c>
      <c r="AA23" s="153"/>
      <c r="AB23" s="153"/>
      <c r="AC23" s="153"/>
      <c r="AD23" s="153"/>
      <c r="AE23" s="153"/>
      <c r="AF23" s="153"/>
      <c r="AG23" s="153"/>
      <c r="AH23" s="153"/>
      <c r="AI23" s="153"/>
      <c r="AJ23" s="154"/>
    </row>
    <row r="24" spans="2:36" ht="24" customHeight="1" thickBot="1">
      <c r="J24" s="216" t="s">
        <v>58</v>
      </c>
      <c r="K24" s="217"/>
      <c r="L24" s="40">
        <v>0</v>
      </c>
      <c r="M24" s="39">
        <f>AVERAGE(M16:M23)</f>
        <v>-8.8118157078158177E-2</v>
      </c>
      <c r="N24" s="39">
        <f t="shared" ref="N24:AJ24" si="1">AVERAGE(N16:N23)</f>
        <v>-6.4637399496770082E-2</v>
      </c>
      <c r="O24" s="39">
        <f t="shared" si="1"/>
        <v>-0.10300921957495328</v>
      </c>
      <c r="P24" s="39">
        <f t="shared" si="1"/>
        <v>-9.3275052857404658E-2</v>
      </c>
      <c r="Q24" s="39">
        <f t="shared" si="1"/>
        <v>-0.13033319620167638</v>
      </c>
      <c r="R24" s="39">
        <f t="shared" si="1"/>
        <v>-0.20696538416465959</v>
      </c>
      <c r="S24" s="39">
        <f t="shared" si="1"/>
        <v>-0.22476204100302866</v>
      </c>
      <c r="T24" s="39">
        <f t="shared" si="1"/>
        <v>-0.14122598923436014</v>
      </c>
      <c r="U24" s="39">
        <f t="shared" si="1"/>
        <v>-7.7293370961500851E-2</v>
      </c>
      <c r="V24" s="39">
        <f t="shared" si="1"/>
        <v>-4.4790877396476553E-2</v>
      </c>
      <c r="W24" s="39">
        <f t="shared" si="1"/>
        <v>-1.5055755330276741E-2</v>
      </c>
      <c r="X24" s="39">
        <f t="shared" si="1"/>
        <v>-0.10299257866035347</v>
      </c>
      <c r="Y24" s="39">
        <f t="shared" si="1"/>
        <v>-0.13585248944223383</v>
      </c>
      <c r="Z24" s="39">
        <f t="shared" si="1"/>
        <v>-1.2661294316167984E-2</v>
      </c>
      <c r="AA24" s="39">
        <f t="shared" si="1"/>
        <v>-9.0924750363586007E-2</v>
      </c>
      <c r="AB24" s="39">
        <f t="shared" si="1"/>
        <v>-0.13284300763470291</v>
      </c>
      <c r="AC24" s="39">
        <f t="shared" si="1"/>
        <v>-0.16088025207282627</v>
      </c>
      <c r="AD24" s="39">
        <f t="shared" si="1"/>
        <v>-0.14830048628700801</v>
      </c>
      <c r="AE24" s="39">
        <f t="shared" si="1"/>
        <v>-7.8942932434792834E-2</v>
      </c>
      <c r="AF24" s="39">
        <f t="shared" si="1"/>
        <v>4.9905316582700664E-2</v>
      </c>
      <c r="AG24" s="39">
        <f t="shared" si="1"/>
        <v>0.15464093059050601</v>
      </c>
      <c r="AH24" s="39">
        <f t="shared" si="1"/>
        <v>0.2169466423210086</v>
      </c>
      <c r="AI24" s="39">
        <f t="shared" si="1"/>
        <v>0.16604797526260981</v>
      </c>
      <c r="AJ24" s="38">
        <f t="shared" si="1"/>
        <v>-4.3390201763662962E-2</v>
      </c>
    </row>
    <row r="25" spans="2:36" ht="30" customHeigh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1.05" hidden="1"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1.05" hidden="1" customHeight="1">
      <c r="J27" s="206" t="s">
        <v>91</v>
      </c>
      <c r="K27" s="207"/>
      <c r="L27" s="158">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52">
        <v>0.15979569178065556</v>
      </c>
    </row>
    <row r="28" spans="2:36" ht="1.05" hidden="1"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0.38842044041457102</v>
      </c>
      <c r="AF28" s="147">
        <v>0.46797880909447076</v>
      </c>
      <c r="AG28" s="147">
        <v>0.43129381818358792</v>
      </c>
      <c r="AH28" s="147">
        <v>0.46996211042729796</v>
      </c>
      <c r="AI28" s="147">
        <v>0.44902672224777396</v>
      </c>
      <c r="AJ28" s="152">
        <v>0.36564289381915693</v>
      </c>
    </row>
    <row r="29" spans="2:36" ht="1.05" hidden="1"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52">
        <v>0.24249812060483178</v>
      </c>
    </row>
    <row r="30" spans="2:36" ht="1.05" hidden="1"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1.05" hidden="1"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0.20531230398190789</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8" spans="10:36" ht="35.25" hidden="1" thickBot="1">
      <c r="J68" s="214" t="s">
        <v>131</v>
      </c>
      <c r="K68" s="21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hidden="1">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hidden="1">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hidden="1">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7.25" hidden="1"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7.25" hidden="1"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B2:D3"/>
    <mergeCell ref="F1:H1"/>
    <mergeCell ref="J2:K2"/>
    <mergeCell ref="J11:K11"/>
    <mergeCell ref="J15:K15"/>
    <mergeCell ref="J24:K24"/>
    <mergeCell ref="J73:K73"/>
    <mergeCell ref="J26:K26"/>
    <mergeCell ref="J27:K27"/>
    <mergeCell ref="J28:K28"/>
    <mergeCell ref="J29:K29"/>
    <mergeCell ref="J30:K30"/>
    <mergeCell ref="J31:K31"/>
    <mergeCell ref="J68:K68"/>
    <mergeCell ref="J69:K69"/>
    <mergeCell ref="J70:K70"/>
    <mergeCell ref="J71:K71"/>
    <mergeCell ref="J72:K72"/>
  </mergeCells>
  <phoneticPr fontId="13" type="noConversion"/>
  <conditionalFormatting sqref="C16:G23">
    <cfRule type="cellIs" dxfId="37" priority="6" operator="between">
      <formula>7</formula>
      <formula>8</formula>
    </cfRule>
    <cfRule type="cellIs" dxfId="36" priority="7" operator="between">
      <formula>1</formula>
      <formula>2</formula>
    </cfRule>
  </conditionalFormatting>
  <conditionalFormatting sqref="F3">
    <cfRule type="cellIs" dxfId="35" priority="2" operator="equal">
      <formula>"GOOD"</formula>
    </cfRule>
    <cfRule type="cellIs" dxfId="34" priority="4" operator="equal">
      <formula>"GOOD"</formula>
    </cfRule>
    <cfRule type="top10" dxfId="33" priority="5" percent="1" rank="10"/>
  </conditionalFormatting>
  <conditionalFormatting sqref="G3">
    <cfRule type="cellIs" dxfId="32" priority="1" operator="equal">
      <formula>"BAD"</formula>
    </cfRule>
    <cfRule type="cellIs" dxfId="31" priority="3" operator="equal">
      <formula>"BAD"</formula>
    </cfRule>
  </conditionalFormatting>
  <pageMargins left="0.7" right="0.7" top="0.75" bottom="0.75" header="0.3" footer="0.3"/>
  <pageSetup paperSize="9" orientation="portrait" horizontalDpi="360" verticalDpi="360"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17BDF-41FC-5C4B-AB89-EC455E4A6082}">
  <dimension ref="B1:AJ73"/>
  <sheetViews>
    <sheetView topLeftCell="A24" zoomScale="66" zoomScaleNormal="55" workbookViewId="0">
      <selection activeCell="B15" sqref="B15:G23"/>
    </sheetView>
  </sheetViews>
  <sheetFormatPr baseColWidth="10" defaultColWidth="8.6875" defaultRowHeight="16.899999999999999"/>
  <cols>
    <col min="1" max="2" width="8.6875" style="36"/>
    <col min="3" max="7" width="9.3125" style="36" bestFit="1" customWidth="1"/>
    <col min="8" max="9" width="8.6875" style="36"/>
    <col min="10" max="10" width="16.6875" style="36" customWidth="1"/>
    <col min="11" max="12" width="8.6875" style="36"/>
    <col min="13" max="36" width="7.6875" style="37" customWidth="1"/>
    <col min="37" max="16384" width="8.6875" style="36"/>
  </cols>
  <sheetData>
    <row r="1" spans="2:36" ht="24" customHeight="1" thickBot="1">
      <c r="B1" s="179"/>
      <c r="C1" s="179"/>
      <c r="D1" s="179"/>
      <c r="E1" s="179"/>
      <c r="F1" s="218"/>
      <c r="G1" s="219"/>
      <c r="H1" s="219"/>
    </row>
    <row r="2" spans="2:36" ht="24" customHeight="1" thickBot="1">
      <c r="B2" s="255" t="s">
        <v>126</v>
      </c>
      <c r="C2" s="256"/>
      <c r="D2" s="257"/>
      <c r="E2" s="179"/>
      <c r="J2" s="226" t="s">
        <v>60</v>
      </c>
      <c r="K2" s="227"/>
      <c r="L2" s="40">
        <v>0</v>
      </c>
      <c r="M2" s="39" t="s">
        <v>4</v>
      </c>
      <c r="N2" s="39" t="s">
        <v>5</v>
      </c>
      <c r="O2" s="39" t="s">
        <v>6</v>
      </c>
      <c r="P2" s="39" t="s">
        <v>7</v>
      </c>
      <c r="Q2" s="39" t="s">
        <v>8</v>
      </c>
      <c r="R2" s="39" t="s">
        <v>9</v>
      </c>
      <c r="S2" s="39" t="s">
        <v>10</v>
      </c>
      <c r="T2" s="39" t="s">
        <v>11</v>
      </c>
      <c r="U2" s="39" t="s">
        <v>12</v>
      </c>
      <c r="V2" s="39" t="s">
        <v>13</v>
      </c>
      <c r="W2" s="39" t="s">
        <v>14</v>
      </c>
      <c r="X2" s="39" t="s">
        <v>15</v>
      </c>
      <c r="Y2" s="39" t="s">
        <v>16</v>
      </c>
      <c r="Z2" s="39" t="s">
        <v>17</v>
      </c>
      <c r="AA2" s="39" t="s">
        <v>18</v>
      </c>
      <c r="AB2" s="39" t="s">
        <v>19</v>
      </c>
      <c r="AC2" s="39" t="s">
        <v>20</v>
      </c>
      <c r="AD2" s="39" t="s">
        <v>21</v>
      </c>
      <c r="AE2" s="39" t="s">
        <v>22</v>
      </c>
      <c r="AF2" s="39" t="s">
        <v>23</v>
      </c>
      <c r="AG2" s="39" t="s">
        <v>24</v>
      </c>
      <c r="AH2" s="39" t="s">
        <v>25</v>
      </c>
      <c r="AI2" s="39" t="s">
        <v>26</v>
      </c>
      <c r="AJ2" s="38" t="s">
        <v>27</v>
      </c>
    </row>
    <row r="3" spans="2:36" ht="24" customHeight="1" thickBot="1">
      <c r="B3" s="258"/>
      <c r="C3" s="259"/>
      <c r="D3" s="260"/>
      <c r="E3" s="179"/>
      <c r="F3" s="188" t="s">
        <v>130</v>
      </c>
      <c r="G3" s="189" t="s">
        <v>129</v>
      </c>
      <c r="J3" s="48" t="s">
        <v>81</v>
      </c>
      <c r="K3" s="190" t="s">
        <v>97</v>
      </c>
      <c r="L3" s="42">
        <v>0</v>
      </c>
      <c r="M3" s="147">
        <v>-0.33043478260869563</v>
      </c>
      <c r="N3" s="147">
        <v>-0.28160535117056851</v>
      </c>
      <c r="O3" s="147">
        <v>-0.44013377926421404</v>
      </c>
      <c r="P3" s="147">
        <v>-0.43678929765886287</v>
      </c>
      <c r="Q3" s="147">
        <v>-0.47892976588628766</v>
      </c>
      <c r="R3" s="147">
        <v>-0.5565217391304349</v>
      </c>
      <c r="S3" s="147">
        <v>-0.46220735785953193</v>
      </c>
      <c r="T3" s="147">
        <v>-0.46755852842809376</v>
      </c>
      <c r="U3" s="147">
        <v>-0.56655518394648841</v>
      </c>
      <c r="V3" s="147">
        <v>-0.46488294314381284</v>
      </c>
      <c r="W3" s="147">
        <v>-0.44481605351170572</v>
      </c>
      <c r="X3" s="147">
        <v>-0.5130434782608696</v>
      </c>
      <c r="Y3" s="147">
        <v>-0.52240802675585285</v>
      </c>
      <c r="Z3" s="147">
        <v>-0.54314381270903012</v>
      </c>
      <c r="AA3" s="147">
        <v>-0.40735785953177261</v>
      </c>
      <c r="AB3" s="147">
        <v>-0.48026755852842806</v>
      </c>
      <c r="AC3" s="147">
        <v>-0.6040133779264214</v>
      </c>
      <c r="AD3" s="147">
        <v>-0.69230769230769229</v>
      </c>
      <c r="AE3" s="147">
        <v>-0.74849498327759201</v>
      </c>
      <c r="AF3" s="147">
        <v>-0.70434782608695645</v>
      </c>
      <c r="AG3" s="147">
        <v>-0.62876254180602009</v>
      </c>
      <c r="AH3" s="147">
        <v>-0.64481605351170568</v>
      </c>
      <c r="AI3" s="147">
        <v>-0.56655518394648818</v>
      </c>
      <c r="AJ3" s="152">
        <v>-0.50367892976588624</v>
      </c>
    </row>
    <row r="4" spans="2:36" ht="24" customHeight="1" thickBot="1">
      <c r="J4" s="43" t="s">
        <v>81</v>
      </c>
      <c r="K4" s="191" t="s">
        <v>100</v>
      </c>
      <c r="L4" s="45">
        <v>0</v>
      </c>
      <c r="M4" s="147">
        <v>-6.2403033959662069E-2</v>
      </c>
      <c r="N4" s="147">
        <v>-0.16807446991897945</v>
      </c>
      <c r="O4" s="147">
        <v>-0.30960179279434574</v>
      </c>
      <c r="P4" s="147">
        <v>-0.23582141010170654</v>
      </c>
      <c r="Q4" s="147">
        <v>-0.24909498362351312</v>
      </c>
      <c r="R4" s="147">
        <v>-0.32511635924840543</v>
      </c>
      <c r="S4" s="147">
        <v>-0.23358041716945344</v>
      </c>
      <c r="T4" s="147">
        <v>-0.18220996379934495</v>
      </c>
      <c r="U4" s="147">
        <v>-0.25978279606964327</v>
      </c>
      <c r="V4" s="147">
        <v>-0.11498017583175313</v>
      </c>
      <c r="W4" s="147">
        <v>-0.17548698500258586</v>
      </c>
      <c r="X4" s="147">
        <v>-0.27667643509739703</v>
      </c>
      <c r="Y4" s="147">
        <v>-0.25081882434063096</v>
      </c>
      <c r="Z4" s="147">
        <v>-0.22547836579900027</v>
      </c>
      <c r="AA4" s="147">
        <v>-8.3261506636786886E-2</v>
      </c>
      <c r="AB4" s="147">
        <v>-0.1616962592656439</v>
      </c>
      <c r="AC4" s="147">
        <v>-0.27650405102568532</v>
      </c>
      <c r="AD4" s="147">
        <v>-0.36079986209274273</v>
      </c>
      <c r="AE4" s="147">
        <v>-0.45474918117565943</v>
      </c>
      <c r="AF4" s="147">
        <v>-0.34821582485778313</v>
      </c>
      <c r="AG4" s="147">
        <v>-0.32649543182209972</v>
      </c>
      <c r="AH4" s="147">
        <v>-0.38234787105671453</v>
      </c>
      <c r="AI4" s="147">
        <v>-0.35545595586967771</v>
      </c>
      <c r="AJ4" s="152">
        <v>-0.25892087571108435</v>
      </c>
    </row>
    <row r="5" spans="2:36" ht="24" customHeight="1">
      <c r="B5" s="51"/>
      <c r="C5" s="50">
        <v>2021</v>
      </c>
      <c r="D5" s="50">
        <v>2022</v>
      </c>
      <c r="E5" s="50">
        <v>2023</v>
      </c>
      <c r="F5" s="50">
        <v>2024</v>
      </c>
      <c r="G5" s="49">
        <v>2025</v>
      </c>
      <c r="J5" s="44" t="s">
        <v>82</v>
      </c>
      <c r="K5" s="192" t="s">
        <v>104</v>
      </c>
      <c r="L5" s="46">
        <v>0</v>
      </c>
      <c r="M5" s="147">
        <v>-7.5254237288135517E-2</v>
      </c>
      <c r="N5" s="147">
        <v>2.0338983050847137E-3</v>
      </c>
      <c r="O5" s="147">
        <v>0.21627118644067811</v>
      </c>
      <c r="P5" s="147">
        <v>0.13559322033898313</v>
      </c>
      <c r="Q5" s="147">
        <v>-1.3559322033896981E-3</v>
      </c>
      <c r="R5" s="147">
        <v>-0.13152542372881337</v>
      </c>
      <c r="S5" s="147">
        <v>-0.24406779661016931</v>
      </c>
      <c r="T5" s="147">
        <v>-0.15728813559322019</v>
      </c>
      <c r="U5" s="147">
        <v>-6.847457627118636E-2</v>
      </c>
      <c r="V5" s="147">
        <v>-3.5254237288135482E-2</v>
      </c>
      <c r="W5" s="147">
        <v>6.3050847457627235E-2</v>
      </c>
      <c r="X5" s="147">
        <v>4.067796610169494E-2</v>
      </c>
      <c r="Y5" s="147">
        <v>-8.4067796610169498E-2</v>
      </c>
      <c r="Z5" s="147">
        <v>-0.22033898305084754</v>
      </c>
      <c r="AA5" s="147">
        <v>-0.23186440677966114</v>
      </c>
      <c r="AB5" s="147">
        <v>-0.27864406779661022</v>
      </c>
      <c r="AC5" s="147">
        <v>-0.28000000000000014</v>
      </c>
      <c r="AD5" s="147">
        <v>-0.23796610169491528</v>
      </c>
      <c r="AE5" s="147">
        <v>-9.152542372881356E-2</v>
      </c>
      <c r="AF5" s="147">
        <v>-1.5593220338983027E-2</v>
      </c>
      <c r="AG5" s="147">
        <v>0.18169491525423731</v>
      </c>
      <c r="AH5" s="147">
        <v>0.14711864406779673</v>
      </c>
      <c r="AI5" s="147">
        <v>-2.7118644067796627E-2</v>
      </c>
      <c r="AJ5" s="152">
        <v>-0.28474576271186436</v>
      </c>
    </row>
    <row r="6" spans="2:36" ht="24" customHeight="1">
      <c r="B6" s="47" t="s">
        <v>69</v>
      </c>
      <c r="C6" s="138">
        <v>2.0099999999999998</v>
      </c>
      <c r="D6" s="139">
        <v>3.17</v>
      </c>
      <c r="E6" s="139">
        <v>2.96</v>
      </c>
      <c r="F6" s="139">
        <v>2.6</v>
      </c>
      <c r="G6" s="140">
        <v>2.39</v>
      </c>
      <c r="H6" s="1"/>
      <c r="J6" s="43" t="s">
        <v>82</v>
      </c>
      <c r="K6" s="191" t="s">
        <v>99</v>
      </c>
      <c r="L6" s="45">
        <v>0</v>
      </c>
      <c r="M6" s="147">
        <v>-6.4026402640264046E-2</v>
      </c>
      <c r="N6" s="147">
        <v>-7.7227722772277185E-2</v>
      </c>
      <c r="O6" s="147">
        <v>0.11881188118811892</v>
      </c>
      <c r="P6" s="147">
        <v>6.1056105610561184E-2</v>
      </c>
      <c r="Q6" s="147">
        <v>-1.848184818481835E-2</v>
      </c>
      <c r="R6" s="147">
        <v>-0.15907590759075896</v>
      </c>
      <c r="S6" s="147">
        <v>-0.30561056105610551</v>
      </c>
      <c r="T6" s="147">
        <v>-0.20132013201320109</v>
      </c>
      <c r="U6" s="147">
        <v>-9.7689768976897406E-2</v>
      </c>
      <c r="V6" s="147">
        <v>-6.0396039603960117E-2</v>
      </c>
      <c r="W6" s="147">
        <v>7.7227722772277518E-2</v>
      </c>
      <c r="X6" s="147">
        <v>-8.2508250825082285E-2</v>
      </c>
      <c r="Y6" s="147">
        <v>-0.18052805280528039</v>
      </c>
      <c r="Z6" s="147">
        <v>-0.15181518151815154</v>
      </c>
      <c r="AA6" s="147">
        <v>-9.6039603960395792E-2</v>
      </c>
      <c r="AB6" s="147">
        <v>-0.14356435643564336</v>
      </c>
      <c r="AC6" s="147">
        <v>-8.0528052805280192E-2</v>
      </c>
      <c r="AD6" s="147">
        <v>-5.77557755775574E-2</v>
      </c>
      <c r="AE6" s="147">
        <v>-2.1782178217821357E-2</v>
      </c>
      <c r="AF6" s="147">
        <v>3.5313531353135641E-2</v>
      </c>
      <c r="AG6" s="147">
        <v>7.5577557755776015E-2</v>
      </c>
      <c r="AH6" s="147">
        <v>-1.2541254125412182E-2</v>
      </c>
      <c r="AI6" s="147">
        <v>-9.9009900990065791E-4</v>
      </c>
      <c r="AJ6" s="152">
        <v>7.9867986798680013E-2</v>
      </c>
    </row>
    <row r="7" spans="2:36" ht="24" customHeight="1">
      <c r="B7" s="47" t="s">
        <v>70</v>
      </c>
      <c r="C7" s="141">
        <v>1.98</v>
      </c>
      <c r="D7" s="142">
        <v>3.07</v>
      </c>
      <c r="E7" s="142">
        <v>2.89</v>
      </c>
      <c r="F7" s="142">
        <v>2.66</v>
      </c>
      <c r="G7" s="143">
        <v>2.41</v>
      </c>
      <c r="H7" s="1"/>
      <c r="J7" s="44" t="s">
        <v>83</v>
      </c>
      <c r="K7" s="192" t="s">
        <v>99</v>
      </c>
      <c r="L7" s="46">
        <v>0</v>
      </c>
      <c r="M7" s="147">
        <v>-0.10683453237410079</v>
      </c>
      <c r="N7" s="147">
        <v>-7.5539568345323715E-2</v>
      </c>
      <c r="O7" s="147">
        <v>-1.4748201438848918E-2</v>
      </c>
      <c r="P7" s="147">
        <v>-6.6546762589928088E-2</v>
      </c>
      <c r="Q7" s="147">
        <v>2.1582733812950394E-3</v>
      </c>
      <c r="R7" s="147">
        <v>2.6978417266187105E-2</v>
      </c>
      <c r="S7" s="147">
        <v>6.6187050359712396E-2</v>
      </c>
      <c r="T7" s="147">
        <v>0.12841726618705041</v>
      </c>
      <c r="U7" s="147">
        <v>0.17230215827338147</v>
      </c>
      <c r="V7" s="147">
        <v>7.6258992805755543E-2</v>
      </c>
      <c r="W7" s="147">
        <v>8.8848920863309422E-2</v>
      </c>
      <c r="X7" s="147">
        <v>0.17697841726618702</v>
      </c>
      <c r="Y7" s="147">
        <v>-1.4028776978417201E-2</v>
      </c>
      <c r="Z7" s="147">
        <v>0.17697841726618702</v>
      </c>
      <c r="AA7" s="147">
        <v>0.14388489208633093</v>
      </c>
      <c r="AB7" s="147">
        <v>9.676258992805753E-2</v>
      </c>
      <c r="AC7" s="147">
        <v>0.16654676258992795</v>
      </c>
      <c r="AD7" s="147">
        <v>0.13165467625899274</v>
      </c>
      <c r="AE7" s="147">
        <v>8.0575539568345178E-2</v>
      </c>
      <c r="AF7" s="147">
        <v>0.24136690647481984</v>
      </c>
      <c r="AG7" s="147">
        <v>0.47374100719424428</v>
      </c>
      <c r="AH7" s="147">
        <v>0.70215827338129477</v>
      </c>
      <c r="AI7" s="147">
        <v>0.76438848920863278</v>
      </c>
      <c r="AJ7" s="152">
        <v>0.34568345323740979</v>
      </c>
    </row>
    <row r="8" spans="2:36" ht="24" customHeight="1">
      <c r="B8" s="47" t="s">
        <v>71</v>
      </c>
      <c r="C8" s="141">
        <v>2.17</v>
      </c>
      <c r="D8" s="142">
        <v>3.72</v>
      </c>
      <c r="E8" s="142">
        <v>3.1</v>
      </c>
      <c r="F8" s="142">
        <v>2.48</v>
      </c>
      <c r="G8" s="143">
        <v>2.44</v>
      </c>
      <c r="J8" s="43" t="s">
        <v>83</v>
      </c>
      <c r="K8" s="191" t="s">
        <v>102</v>
      </c>
      <c r="L8" s="45">
        <v>0</v>
      </c>
      <c r="M8" s="147">
        <v>4.5863694813544909E-2</v>
      </c>
      <c r="N8" s="147">
        <v>6.5795113587655552E-2</v>
      </c>
      <c r="O8" s="147">
        <v>-7.0724389198455473E-3</v>
      </c>
      <c r="P8" s="147">
        <v>-9.9657093870552882E-2</v>
      </c>
      <c r="Q8" s="147">
        <v>-0.10758679811401617</v>
      </c>
      <c r="R8" s="147">
        <v>6.6652378911273402E-2</v>
      </c>
      <c r="S8" s="147">
        <v>0.2016716673810548</v>
      </c>
      <c r="T8" s="147">
        <v>0.34440634376339507</v>
      </c>
      <c r="U8" s="147">
        <v>0.2743249035576516</v>
      </c>
      <c r="V8" s="147">
        <v>0.4170595799399921</v>
      </c>
      <c r="W8" s="147">
        <v>0.26639519931418842</v>
      </c>
      <c r="X8" s="147">
        <v>-7.9297042434632981E-2</v>
      </c>
      <c r="Y8" s="147">
        <v>-0.12087441063008952</v>
      </c>
      <c r="Z8" s="147">
        <v>2.1860265752250863E-2</v>
      </c>
      <c r="AA8" s="147">
        <v>4.1577368195456987E-2</v>
      </c>
      <c r="AB8" s="147">
        <v>0.12687526789541415</v>
      </c>
      <c r="AC8" s="147">
        <v>0.31290184312044644</v>
      </c>
      <c r="AD8" s="147">
        <v>0.20595799399914339</v>
      </c>
      <c r="AE8" s="147">
        <v>0.21945992284612137</v>
      </c>
      <c r="AF8" s="147">
        <v>0.36648092584655001</v>
      </c>
      <c r="AG8" s="147">
        <v>0.47942563223317691</v>
      </c>
      <c r="AH8" s="147">
        <v>0.40462923274753626</v>
      </c>
      <c r="AI8" s="147">
        <v>0.40055722246035197</v>
      </c>
      <c r="AJ8" s="152">
        <v>0.42091727389627143</v>
      </c>
    </row>
    <row r="9" spans="2:36" ht="24" customHeight="1">
      <c r="B9" s="47" t="s">
        <v>72</v>
      </c>
      <c r="C9" s="141">
        <v>2.2000000000000002</v>
      </c>
      <c r="D9" s="142">
        <v>3.3</v>
      </c>
      <c r="E9" s="142">
        <v>3.05</v>
      </c>
      <c r="F9" s="142">
        <v>3</v>
      </c>
      <c r="G9" s="143">
        <v>2.9</v>
      </c>
      <c r="J9" s="44" t="s">
        <v>84</v>
      </c>
      <c r="K9" s="190" t="s">
        <v>104</v>
      </c>
      <c r="L9" s="42">
        <v>0</v>
      </c>
      <c r="M9" s="147">
        <v>-5.6872037914692086E-2</v>
      </c>
      <c r="N9" s="147">
        <v>8.1516587677725072E-2</v>
      </c>
      <c r="O9" s="147">
        <v>6.3507109004739437E-2</v>
      </c>
      <c r="P9" s="147">
        <v>8.9099526066350743E-2</v>
      </c>
      <c r="Q9" s="147">
        <v>0.26729857819905201</v>
      </c>
      <c r="R9" s="147">
        <v>6.5402843601895633E-2</v>
      </c>
      <c r="S9" s="147">
        <v>0.24454976303317544</v>
      </c>
      <c r="T9" s="147">
        <v>0.33175355450236976</v>
      </c>
      <c r="U9" s="147">
        <v>0.45308056872037894</v>
      </c>
      <c r="V9" s="147">
        <v>0.26066350710900466</v>
      </c>
      <c r="W9" s="147">
        <v>0.23886255924170596</v>
      </c>
      <c r="X9" s="147">
        <v>1.8009478672985635E-2</v>
      </c>
      <c r="Y9" s="147">
        <v>0.10995260663507089</v>
      </c>
      <c r="Z9" s="147">
        <v>0.38767772511848309</v>
      </c>
      <c r="AJ9" s="41"/>
    </row>
    <row r="10" spans="2:36" ht="24" customHeight="1" thickBot="1">
      <c r="B10" s="63" t="s">
        <v>75</v>
      </c>
      <c r="C10" s="141">
        <v>1.91</v>
      </c>
      <c r="D10" s="142">
        <v>3.32</v>
      </c>
      <c r="E10" s="142">
        <v>3.05</v>
      </c>
      <c r="F10" s="142">
        <v>3.08</v>
      </c>
      <c r="G10" s="143">
        <v>2.95</v>
      </c>
      <c r="J10" s="43" t="s">
        <v>84</v>
      </c>
      <c r="K10" s="190" t="s">
        <v>98</v>
      </c>
      <c r="L10" s="42">
        <v>0</v>
      </c>
      <c r="M10" s="147">
        <v>-0.16228606356968212</v>
      </c>
      <c r="N10" s="147">
        <v>0</v>
      </c>
      <c r="O10" s="147">
        <v>-2.8117359413202925E-2</v>
      </c>
      <c r="P10" s="147">
        <v>-6.8154034229828908E-2</v>
      </c>
      <c r="Q10" s="147">
        <v>-8.8630806845966248E-3</v>
      </c>
      <c r="R10" s="147">
        <v>-3.8508557457212711E-2</v>
      </c>
      <c r="S10" s="147">
        <v>-8.1907090464547694E-2</v>
      </c>
      <c r="T10" s="147">
        <v>5.4706601466992577E-2</v>
      </c>
      <c r="U10" s="147">
        <v>0.2521393643031784</v>
      </c>
      <c r="V10" s="147">
        <v>0.44621026894865534</v>
      </c>
      <c r="W10" s="147">
        <v>0.49908312958435208</v>
      </c>
      <c r="X10" s="147">
        <v>0.14333740831295838</v>
      </c>
      <c r="Y10" s="147">
        <v>0.15892420537897323</v>
      </c>
      <c r="Z10" s="147">
        <v>0.3126528117359415</v>
      </c>
      <c r="AA10" s="153"/>
      <c r="AB10" s="153"/>
      <c r="AC10" s="153"/>
      <c r="AD10" s="153"/>
      <c r="AE10" s="153"/>
      <c r="AF10" s="153"/>
      <c r="AG10" s="153"/>
      <c r="AH10" s="153"/>
      <c r="AI10" s="153"/>
      <c r="AJ10" s="154"/>
    </row>
    <row r="11" spans="2:36" ht="24" customHeight="1" thickBot="1">
      <c r="B11" s="47" t="s">
        <v>76</v>
      </c>
      <c r="C11" s="141">
        <v>1.97</v>
      </c>
      <c r="D11" s="142">
        <v>3.36</v>
      </c>
      <c r="E11" s="142">
        <v>3.07</v>
      </c>
      <c r="F11" s="142">
        <v>3.02</v>
      </c>
      <c r="G11" s="143">
        <v>2.89</v>
      </c>
      <c r="J11" s="216" t="s">
        <v>58</v>
      </c>
      <c r="K11" s="217"/>
      <c r="L11" s="40">
        <v>0</v>
      </c>
      <c r="M11" s="39">
        <f t="shared" ref="M11:AJ11" si="0">AVERAGE(M3:M10)</f>
        <v>-0.10153092444271092</v>
      </c>
      <c r="N11" s="39">
        <f t="shared" si="0"/>
        <v>-5.663768907958544E-2</v>
      </c>
      <c r="O11" s="39">
        <f t="shared" si="0"/>
        <v>-5.0135424399615089E-2</v>
      </c>
      <c r="P11" s="39">
        <f t="shared" si="0"/>
        <v>-7.7652468304373029E-2</v>
      </c>
      <c r="Q11" s="39">
        <f t="shared" si="0"/>
        <v>-7.4356944639534323E-2</v>
      </c>
      <c r="R11" s="39">
        <f t="shared" si="0"/>
        <v>-0.13146429342203364</v>
      </c>
      <c r="S11" s="39">
        <f t="shared" si="0"/>
        <v>-0.10187059279823314</v>
      </c>
      <c r="T11" s="39">
        <f t="shared" si="0"/>
        <v>-1.8636624239256522E-2</v>
      </c>
      <c r="U11" s="39">
        <f t="shared" si="0"/>
        <v>1.9918083698796871E-2</v>
      </c>
      <c r="V11" s="39">
        <f t="shared" si="0"/>
        <v>6.5584869116968258E-2</v>
      </c>
      <c r="W11" s="39">
        <f t="shared" si="0"/>
        <v>7.6645667589896133E-2</v>
      </c>
      <c r="X11" s="39">
        <f t="shared" si="0"/>
        <v>-7.1565242033019491E-2</v>
      </c>
      <c r="Y11" s="39">
        <f t="shared" si="0"/>
        <v>-0.11298113451329955</v>
      </c>
      <c r="Z11" s="39">
        <f t="shared" si="0"/>
        <v>-3.0200890400520874E-2</v>
      </c>
      <c r="AA11" s="39">
        <f t="shared" si="0"/>
        <v>-0.10551018610447142</v>
      </c>
      <c r="AB11" s="39">
        <f t="shared" si="0"/>
        <v>-0.14008906403380897</v>
      </c>
      <c r="AC11" s="39">
        <f t="shared" si="0"/>
        <v>-0.1269328126745021</v>
      </c>
      <c r="AD11" s="39">
        <f t="shared" si="0"/>
        <v>-0.16853612690246197</v>
      </c>
      <c r="AE11" s="39">
        <f t="shared" si="0"/>
        <v>-0.16941938399756995</v>
      </c>
      <c r="AF11" s="39">
        <f t="shared" si="0"/>
        <v>-7.0832584601536186E-2</v>
      </c>
      <c r="AG11" s="39">
        <f t="shared" si="0"/>
        <v>4.2530189801552452E-2</v>
      </c>
      <c r="AH11" s="39">
        <f t="shared" si="0"/>
        <v>3.5700161917132545E-2</v>
      </c>
      <c r="AI11" s="39">
        <f t="shared" si="0"/>
        <v>3.5804304795853593E-2</v>
      </c>
      <c r="AJ11" s="38">
        <f t="shared" si="0"/>
        <v>-3.3479475709412308E-2</v>
      </c>
    </row>
    <row r="12" spans="2:36" ht="24" customHeight="1">
      <c r="B12" s="64" t="s">
        <v>74</v>
      </c>
      <c r="C12" s="141">
        <v>2.14</v>
      </c>
      <c r="D12" s="142">
        <v>3.63</v>
      </c>
      <c r="E12" s="142">
        <v>2.95</v>
      </c>
      <c r="F12" s="142">
        <v>2.88</v>
      </c>
      <c r="G12" s="143">
        <v>2.72</v>
      </c>
    </row>
    <row r="13" spans="2:36" ht="24" customHeight="1" thickBot="1">
      <c r="B13" s="65" t="s">
        <v>73</v>
      </c>
      <c r="C13" s="144">
        <v>2.02</v>
      </c>
      <c r="D13" s="145">
        <v>3.36</v>
      </c>
      <c r="E13" s="145">
        <v>2.82</v>
      </c>
      <c r="F13" s="145">
        <v>2.75</v>
      </c>
      <c r="G13" s="146">
        <v>2.58</v>
      </c>
    </row>
    <row r="14" spans="2:36" ht="24" customHeight="1" thickBot="1"/>
    <row r="15" spans="2:36" ht="24" customHeight="1" thickBot="1">
      <c r="B15" s="51"/>
      <c r="C15" s="50">
        <v>2021</v>
      </c>
      <c r="D15" s="50">
        <v>2022</v>
      </c>
      <c r="E15" s="50">
        <v>2023</v>
      </c>
      <c r="F15" s="50">
        <v>2024</v>
      </c>
      <c r="G15" s="49">
        <v>2025</v>
      </c>
      <c r="J15" s="228" t="s">
        <v>59</v>
      </c>
      <c r="K15" s="229"/>
      <c r="L15" s="40">
        <v>0</v>
      </c>
      <c r="M15" s="39" t="s">
        <v>4</v>
      </c>
      <c r="N15" s="39" t="s">
        <v>5</v>
      </c>
      <c r="O15" s="39" t="s">
        <v>6</v>
      </c>
      <c r="P15" s="39" t="s">
        <v>7</v>
      </c>
      <c r="Q15" s="39" t="s">
        <v>8</v>
      </c>
      <c r="R15" s="39" t="s">
        <v>9</v>
      </c>
      <c r="S15" s="39" t="s">
        <v>10</v>
      </c>
      <c r="T15" s="39" t="s">
        <v>11</v>
      </c>
      <c r="U15" s="39" t="s">
        <v>12</v>
      </c>
      <c r="V15" s="39" t="s">
        <v>13</v>
      </c>
      <c r="W15" s="39" t="s">
        <v>14</v>
      </c>
      <c r="X15" s="39" t="s">
        <v>15</v>
      </c>
      <c r="Y15" s="39" t="s">
        <v>16</v>
      </c>
      <c r="Z15" s="39" t="s">
        <v>17</v>
      </c>
      <c r="AA15" s="39" t="s">
        <v>18</v>
      </c>
      <c r="AB15" s="39" t="s">
        <v>19</v>
      </c>
      <c r="AC15" s="39" t="s">
        <v>20</v>
      </c>
      <c r="AD15" s="39" t="s">
        <v>21</v>
      </c>
      <c r="AE15" s="39" t="s">
        <v>22</v>
      </c>
      <c r="AF15" s="39" t="s">
        <v>23</v>
      </c>
      <c r="AG15" s="39" t="s">
        <v>24</v>
      </c>
      <c r="AH15" s="39" t="s">
        <v>25</v>
      </c>
      <c r="AI15" s="39" t="s">
        <v>26</v>
      </c>
      <c r="AJ15" s="38" t="s">
        <v>27</v>
      </c>
    </row>
    <row r="16" spans="2:36" ht="24" customHeight="1">
      <c r="B16" s="47" t="s">
        <v>69</v>
      </c>
      <c r="C16" s="84">
        <v>4</v>
      </c>
      <c r="D16" s="84">
        <v>2</v>
      </c>
      <c r="E16" s="84">
        <v>4</v>
      </c>
      <c r="F16" s="84">
        <v>2</v>
      </c>
      <c r="G16" s="85">
        <v>1</v>
      </c>
      <c r="J16" s="48" t="s">
        <v>81</v>
      </c>
      <c r="K16" s="197" t="s">
        <v>98</v>
      </c>
      <c r="L16" s="42">
        <v>0</v>
      </c>
      <c r="M16" s="147">
        <v>-6.3548102383053862E-2</v>
      </c>
      <c r="N16" s="147">
        <v>-5.1191526919682206E-2</v>
      </c>
      <c r="O16" s="147">
        <v>-0.17299205648720217</v>
      </c>
      <c r="P16" s="147">
        <v>0.27802294792586069</v>
      </c>
      <c r="Q16" s="147">
        <v>0.13857016769638153</v>
      </c>
      <c r="R16" s="147">
        <v>-0.14386584289496906</v>
      </c>
      <c r="S16" s="147">
        <v>0.15710503089143879</v>
      </c>
      <c r="T16" s="147">
        <v>0.15092674315975296</v>
      </c>
      <c r="U16" s="147">
        <v>-9.3556928508384707E-2</v>
      </c>
      <c r="V16" s="147">
        <v>0.1103265666372466</v>
      </c>
      <c r="W16" s="147">
        <v>3.7952338923213036E-2</v>
      </c>
      <c r="X16" s="147">
        <v>-0.13150926743159719</v>
      </c>
      <c r="Y16" s="147">
        <v>-0.1624007060900261</v>
      </c>
      <c r="Z16" s="147">
        <v>-0.27360988526037033</v>
      </c>
      <c r="AA16" s="147">
        <v>-0.14651368049426261</v>
      </c>
      <c r="AB16" s="147">
        <v>-0.17917034421888745</v>
      </c>
      <c r="AC16" s="147">
        <v>-0.44571932921447455</v>
      </c>
      <c r="AD16" s="147">
        <v>-0.57281553398058227</v>
      </c>
      <c r="AE16" s="147">
        <v>-0.70079435127978806</v>
      </c>
      <c r="AF16" s="147">
        <v>-0.6548984995586935</v>
      </c>
      <c r="AG16" s="147">
        <v>-0.51809355692850811</v>
      </c>
      <c r="AH16" s="147">
        <v>-0.57016769638128828</v>
      </c>
      <c r="AI16" s="147">
        <v>-0.38746690203000833</v>
      </c>
      <c r="AJ16" s="152">
        <v>-0.28420123565754574</v>
      </c>
    </row>
    <row r="17" spans="2:36" ht="24" customHeight="1">
      <c r="B17" s="47" t="s">
        <v>70</v>
      </c>
      <c r="C17" s="84">
        <v>3</v>
      </c>
      <c r="D17" s="84">
        <v>1</v>
      </c>
      <c r="E17" s="84">
        <v>2</v>
      </c>
      <c r="F17" s="84">
        <v>3</v>
      </c>
      <c r="G17" s="85">
        <v>2</v>
      </c>
      <c r="J17" s="43" t="s">
        <v>81</v>
      </c>
      <c r="K17" s="198" t="s">
        <v>101</v>
      </c>
      <c r="L17" s="45">
        <v>0</v>
      </c>
      <c r="M17" s="147">
        <v>-4.4342507645259932E-2</v>
      </c>
      <c r="N17" s="147">
        <v>-7.9701834862385357E-2</v>
      </c>
      <c r="O17" s="147">
        <v>-0.30358053007135566</v>
      </c>
      <c r="P17" s="147">
        <v>-0.28994648318042804</v>
      </c>
      <c r="Q17" s="147">
        <v>-0.40577217125382259</v>
      </c>
      <c r="R17" s="147">
        <v>-0.55058613659531086</v>
      </c>
      <c r="S17" s="147">
        <v>-0.53784403669724756</v>
      </c>
      <c r="T17" s="147">
        <v>-0.4912716615698266</v>
      </c>
      <c r="U17" s="147">
        <v>-0.58135830784913356</v>
      </c>
      <c r="V17" s="147">
        <v>-0.47024719673802229</v>
      </c>
      <c r="W17" s="147">
        <v>-0.36850152905198763</v>
      </c>
      <c r="X17" s="147">
        <v>-0.43361365953109066</v>
      </c>
      <c r="Y17" s="147">
        <v>-0.36015545361875634</v>
      </c>
      <c r="Z17" s="147">
        <v>-0.39965596330275222</v>
      </c>
      <c r="AA17" s="147">
        <v>-0.22241335372069315</v>
      </c>
      <c r="AB17" s="147">
        <v>-0.2382772680937818</v>
      </c>
      <c r="AC17" s="147">
        <v>-0.45291794087665638</v>
      </c>
      <c r="AD17" s="147">
        <v>-0.52395514780835883</v>
      </c>
      <c r="AE17" s="147">
        <v>-0.58741080530071343</v>
      </c>
      <c r="AF17" s="147">
        <v>-0.57581549439347612</v>
      </c>
      <c r="AG17" s="147">
        <v>-0.48318042813455653</v>
      </c>
      <c r="AH17" s="147">
        <v>-0.50949286442405706</v>
      </c>
      <c r="AI17" s="147">
        <v>-0.54466106014271154</v>
      </c>
      <c r="AJ17" s="152">
        <v>-0.52580275229357787</v>
      </c>
    </row>
    <row r="18" spans="2:36" ht="24" customHeight="1">
      <c r="B18" s="47" t="s">
        <v>71</v>
      </c>
      <c r="C18" s="86">
        <v>7</v>
      </c>
      <c r="D18" s="86">
        <v>8</v>
      </c>
      <c r="E18" s="86">
        <v>8</v>
      </c>
      <c r="F18" s="86">
        <v>1</v>
      </c>
      <c r="G18" s="87">
        <v>3</v>
      </c>
      <c r="J18" s="44" t="s">
        <v>82</v>
      </c>
      <c r="K18" s="199" t="s">
        <v>98</v>
      </c>
      <c r="L18" s="46">
        <v>0</v>
      </c>
      <c r="M18" s="147">
        <v>-3.5569105691056868E-2</v>
      </c>
      <c r="N18" s="147">
        <v>-0.16361788617886164</v>
      </c>
      <c r="O18" s="147">
        <v>-1.7276422764227584E-2</v>
      </c>
      <c r="P18" s="147">
        <v>-5.4878048780487743E-2</v>
      </c>
      <c r="Q18" s="147">
        <v>-0.36178861788617878</v>
      </c>
      <c r="R18" s="147">
        <v>-0.50813008130081294</v>
      </c>
      <c r="S18" s="147">
        <v>-0.65548780487804881</v>
      </c>
      <c r="T18" s="147">
        <v>-0.60264227642276413</v>
      </c>
      <c r="U18" s="147">
        <v>-0.44512195121951215</v>
      </c>
      <c r="V18" s="147">
        <v>-0.50508130081300806</v>
      </c>
      <c r="W18" s="147">
        <v>-0.2947154471544714</v>
      </c>
      <c r="X18" s="147">
        <v>-0.17581300813008116</v>
      </c>
      <c r="Y18" s="147">
        <v>-0.38617886178861771</v>
      </c>
      <c r="Z18" s="147">
        <v>-0.44410569105691045</v>
      </c>
      <c r="AA18" s="147">
        <v>-0.4989837398373983</v>
      </c>
      <c r="AB18" s="147">
        <v>-0.59949186991869907</v>
      </c>
      <c r="AC18" s="147">
        <v>-0.63109756097560976</v>
      </c>
      <c r="AD18" s="147">
        <v>-0.45630081300813008</v>
      </c>
      <c r="AE18" s="147">
        <v>-0.38211382113821135</v>
      </c>
      <c r="AF18" s="147">
        <v>-0.40752032520325199</v>
      </c>
      <c r="AG18" s="147">
        <v>-0.27743902439024382</v>
      </c>
      <c r="AH18" s="147">
        <v>-0.14329268292682917</v>
      </c>
      <c r="AI18" s="147">
        <v>-0.26829268292682917</v>
      </c>
      <c r="AJ18" s="152">
        <v>-0.55894308943089421</v>
      </c>
    </row>
    <row r="19" spans="2:36" ht="24" customHeight="1">
      <c r="B19" s="47" t="s">
        <v>72</v>
      </c>
      <c r="C19" s="86">
        <v>8</v>
      </c>
      <c r="D19" s="86">
        <v>3</v>
      </c>
      <c r="E19" s="86">
        <v>5</v>
      </c>
      <c r="F19" s="86">
        <v>6</v>
      </c>
      <c r="G19" s="87">
        <v>7</v>
      </c>
      <c r="J19" s="43" t="s">
        <v>82</v>
      </c>
      <c r="K19" s="198" t="s">
        <v>96</v>
      </c>
      <c r="L19" s="45">
        <v>0</v>
      </c>
      <c r="M19" s="147">
        <v>-1.0169491525423791E-2</v>
      </c>
      <c r="N19" s="147">
        <v>7.2768361581920793E-2</v>
      </c>
      <c r="O19" s="147">
        <v>0.23999999999999977</v>
      </c>
      <c r="P19" s="147">
        <v>0.22734463276836148</v>
      </c>
      <c r="Q19" s="147">
        <v>0.12564971751412424</v>
      </c>
      <c r="R19" s="147">
        <v>-4.4067796610169574E-2</v>
      </c>
      <c r="S19" s="147">
        <v>-0.20881355932203394</v>
      </c>
      <c r="T19" s="147">
        <v>-0.10960451977401131</v>
      </c>
      <c r="U19" s="147">
        <v>-6.7570621468926562E-2</v>
      </c>
      <c r="V19" s="147">
        <v>-6.4858757062146832E-2</v>
      </c>
      <c r="W19" s="147">
        <v>2.8022598870056648E-2</v>
      </c>
      <c r="X19" s="147">
        <v>8.2033898305085007E-2</v>
      </c>
      <c r="Y19" s="147">
        <v>0.16293785310734488</v>
      </c>
      <c r="Z19" s="147">
        <v>0.19751412429378568</v>
      </c>
      <c r="AA19" s="147">
        <v>9.9661016949152748E-2</v>
      </c>
      <c r="AB19" s="147">
        <v>2.6440677966101944E-2</v>
      </c>
      <c r="AC19" s="147">
        <v>-4.7457627118642209E-3</v>
      </c>
      <c r="AD19" s="147">
        <v>0.28949152542372913</v>
      </c>
      <c r="AE19" s="147">
        <v>0.76858757062146954</v>
      </c>
      <c r="AF19" s="147">
        <v>1.1882485875706221</v>
      </c>
      <c r="AG19" s="147">
        <v>1.194350282485876</v>
      </c>
      <c r="AH19" s="147">
        <v>1.3918644067796615</v>
      </c>
      <c r="AI19" s="147">
        <v>1.1200000000000006</v>
      </c>
      <c r="AJ19" s="152">
        <v>0.56045197740113029</v>
      </c>
    </row>
    <row r="20" spans="2:36" ht="24" customHeight="1">
      <c r="B20" s="63" t="s">
        <v>75</v>
      </c>
      <c r="C20" s="88">
        <v>1</v>
      </c>
      <c r="D20" s="89">
        <v>4</v>
      </c>
      <c r="E20" s="89">
        <v>5</v>
      </c>
      <c r="F20" s="89">
        <v>8</v>
      </c>
      <c r="G20" s="90">
        <v>8</v>
      </c>
      <c r="J20" s="44" t="s">
        <v>83</v>
      </c>
      <c r="K20" s="199" t="s">
        <v>98</v>
      </c>
      <c r="L20" s="46">
        <v>0</v>
      </c>
      <c r="M20" s="147">
        <v>-0.25524044389642409</v>
      </c>
      <c r="N20" s="147">
        <v>-0.32552404438964244</v>
      </c>
      <c r="O20" s="147">
        <v>-0.39210850801479658</v>
      </c>
      <c r="P20" s="147">
        <v>-0.51405672009864367</v>
      </c>
      <c r="Q20" s="147">
        <v>-0.55240443896424174</v>
      </c>
      <c r="R20" s="147">
        <v>-0.34032059186189889</v>
      </c>
      <c r="S20" s="147">
        <v>-0.25030826140567197</v>
      </c>
      <c r="T20" s="147">
        <v>-0.28113440197287287</v>
      </c>
      <c r="U20" s="147">
        <v>-0.12330456226880371</v>
      </c>
      <c r="V20" s="147">
        <v>3.9457459926017568E-2</v>
      </c>
      <c r="W20" s="147">
        <v>-0.11220715166461126</v>
      </c>
      <c r="X20" s="147">
        <v>-0.46485819975339071</v>
      </c>
      <c r="Y20" s="147">
        <v>-0.6325524044389641</v>
      </c>
      <c r="Z20" s="147">
        <v>-0.50431565967940795</v>
      </c>
      <c r="AA20" s="147">
        <v>-0.55610357583230563</v>
      </c>
      <c r="AB20" s="147">
        <v>-0.45992601726263849</v>
      </c>
      <c r="AC20" s="147">
        <v>-0.39580764488286035</v>
      </c>
      <c r="AD20" s="147">
        <v>-0.45561035758323032</v>
      </c>
      <c r="AE20" s="147">
        <v>-0.52404438964241651</v>
      </c>
      <c r="AF20" s="147">
        <v>-0.43773119605425381</v>
      </c>
      <c r="AG20" s="147">
        <v>-0.41923551171393314</v>
      </c>
      <c r="AH20" s="147">
        <v>-0.42786683107274948</v>
      </c>
      <c r="AI20" s="147">
        <v>-0.45252774352651015</v>
      </c>
      <c r="AJ20" s="152">
        <v>-0.56473489519112186</v>
      </c>
    </row>
    <row r="21" spans="2:36" ht="24" customHeight="1">
      <c r="B21" s="47" t="s">
        <v>76</v>
      </c>
      <c r="C21" s="91">
        <v>2</v>
      </c>
      <c r="D21" s="91">
        <v>5</v>
      </c>
      <c r="E21" s="84">
        <v>7</v>
      </c>
      <c r="F21" s="84">
        <v>7</v>
      </c>
      <c r="G21" s="85">
        <v>6</v>
      </c>
      <c r="J21" s="43" t="s">
        <v>83</v>
      </c>
      <c r="K21" s="198" t="s">
        <v>100</v>
      </c>
      <c r="L21" s="45">
        <v>0</v>
      </c>
      <c r="M21" s="147">
        <v>6.9783670621070826E-4</v>
      </c>
      <c r="N21" s="147">
        <v>-2.2563386834147492E-2</v>
      </c>
      <c r="O21" s="147">
        <v>-6.0246568969527847E-2</v>
      </c>
      <c r="P21" s="147">
        <v>-0.1270062805303559</v>
      </c>
      <c r="Q21" s="147">
        <v>-0.16003721795766457</v>
      </c>
      <c r="R21" s="147">
        <v>5.1639916259595298E-2</v>
      </c>
      <c r="S21" s="147">
        <v>0.11444521981856237</v>
      </c>
      <c r="T21" s="147">
        <v>0.22354035822284257</v>
      </c>
      <c r="U21" s="147">
        <v>0.50616422423819496</v>
      </c>
      <c r="V21" s="147">
        <v>0.70388462433123977</v>
      </c>
      <c r="W21" s="147">
        <v>0.68132123749709228</v>
      </c>
      <c r="X21" s="147">
        <v>0.14491742265643159</v>
      </c>
      <c r="Y21" s="147">
        <v>2.9774366131658514E-2</v>
      </c>
      <c r="Z21" s="147">
        <v>0.18469411491044418</v>
      </c>
      <c r="AA21" s="147">
        <v>0.15096534077692469</v>
      </c>
      <c r="AB21" s="147">
        <v>0.23191439869737152</v>
      </c>
      <c r="AC21" s="147">
        <v>0.46033961386368927</v>
      </c>
      <c r="AD21" s="147">
        <v>0.15794370783903244</v>
      </c>
      <c r="AE21" s="147">
        <v>-2.9309141660851412E-2</v>
      </c>
      <c r="AF21" s="147">
        <v>-3.0239590602464395E-3</v>
      </c>
      <c r="AG21" s="147">
        <v>0.17003954408001865</v>
      </c>
      <c r="AH21" s="147">
        <v>0.18236799255640834</v>
      </c>
      <c r="AI21" s="147">
        <v>0.20027913468248437</v>
      </c>
      <c r="AJ21" s="152">
        <v>-0.14445219818562449</v>
      </c>
    </row>
    <row r="22" spans="2:36" ht="24" customHeight="1">
      <c r="B22" s="64" t="s">
        <v>74</v>
      </c>
      <c r="C22" s="92">
        <v>6</v>
      </c>
      <c r="D22" s="92">
        <v>7</v>
      </c>
      <c r="E22" s="92">
        <v>3</v>
      </c>
      <c r="F22" s="92">
        <v>5</v>
      </c>
      <c r="G22" s="93">
        <v>5</v>
      </c>
      <c r="J22" s="44" t="s">
        <v>84</v>
      </c>
      <c r="K22" s="197" t="s">
        <v>97</v>
      </c>
      <c r="L22" s="42">
        <v>0</v>
      </c>
      <c r="M22" s="147">
        <v>-9.5435684647302899E-2</v>
      </c>
      <c r="N22" s="147">
        <v>4.7717842323651283E-2</v>
      </c>
      <c r="O22" s="147">
        <v>-0.12240663900414939</v>
      </c>
      <c r="P22" s="147">
        <v>-7.8838174273858974E-2</v>
      </c>
      <c r="Q22" s="147">
        <v>0.10995850622406622</v>
      </c>
      <c r="R22" s="147">
        <v>2.0746887966804906E-2</v>
      </c>
      <c r="S22" s="147">
        <v>-0.12863070539419086</v>
      </c>
      <c r="T22" s="147">
        <v>-5.1867219917012375E-2</v>
      </c>
      <c r="U22" s="147">
        <v>-5.6016597510373467E-2</v>
      </c>
      <c r="V22" s="147">
        <v>1.0373443983402453E-2</v>
      </c>
      <c r="W22" s="147">
        <v>0.14937759336099576</v>
      </c>
      <c r="X22" s="147">
        <v>-8.2987551867219955E-2</v>
      </c>
      <c r="Y22" s="147">
        <v>-3.319502074688796E-2</v>
      </c>
      <c r="Z22" s="147">
        <v>0.13278008298755184</v>
      </c>
      <c r="AJ22" s="41"/>
    </row>
    <row r="23" spans="2:36" ht="24" customHeight="1" thickBot="1">
      <c r="B23" s="65" t="s">
        <v>73</v>
      </c>
      <c r="C23" s="94">
        <v>5</v>
      </c>
      <c r="D23" s="94">
        <v>5</v>
      </c>
      <c r="E23" s="94">
        <v>1</v>
      </c>
      <c r="F23" s="94">
        <v>4</v>
      </c>
      <c r="G23" s="95">
        <v>4</v>
      </c>
      <c r="J23" s="43" t="s">
        <v>84</v>
      </c>
      <c r="K23" s="197" t="s">
        <v>100</v>
      </c>
      <c r="L23" s="42">
        <v>0</v>
      </c>
      <c r="M23" s="147">
        <v>-0.10056887444128393</v>
      </c>
      <c r="N23" s="147">
        <v>3.474197480698904E-2</v>
      </c>
      <c r="O23" s="147">
        <v>5.2824055262088443E-3</v>
      </c>
      <c r="P23" s="147">
        <v>7.5985371800081358E-2</v>
      </c>
      <c r="Q23" s="147">
        <v>0.27549776513612367</v>
      </c>
      <c r="R23" s="147">
        <v>1.1377488825680793E-2</v>
      </c>
      <c r="S23" s="147">
        <v>-0.15217391304347827</v>
      </c>
      <c r="T23" s="147">
        <v>-0.12921576594880113</v>
      </c>
      <c r="U23" s="147">
        <v>2.1942299878098481E-2</v>
      </c>
      <c r="V23" s="147">
        <v>3.2710280373831946E-2</v>
      </c>
      <c r="W23" s="147">
        <v>4.8354327509142925E-2</v>
      </c>
      <c r="X23" s="147">
        <v>-0.25274278748476209</v>
      </c>
      <c r="Y23" s="147">
        <v>-0.20540430719219804</v>
      </c>
      <c r="Z23" s="147">
        <v>-6.5014221861031785E-2</v>
      </c>
      <c r="AA23" s="153"/>
      <c r="AB23" s="153"/>
      <c r="AC23" s="153"/>
      <c r="AD23" s="153"/>
      <c r="AE23" s="153"/>
      <c r="AF23" s="153"/>
      <c r="AG23" s="153"/>
      <c r="AH23" s="153"/>
      <c r="AI23" s="153"/>
      <c r="AJ23" s="154"/>
    </row>
    <row r="24" spans="2:36" ht="24" customHeight="1" thickBot="1">
      <c r="J24" s="216" t="s">
        <v>58</v>
      </c>
      <c r="K24" s="217"/>
      <c r="L24" s="40">
        <v>0</v>
      </c>
      <c r="M24" s="39">
        <f>AVERAGE(M16:M23)</f>
        <v>-7.5522046690449332E-2</v>
      </c>
      <c r="N24" s="39">
        <f t="shared" ref="N24:AJ24" si="1">AVERAGE(N16:N23)</f>
        <v>-6.0921312559019752E-2</v>
      </c>
      <c r="O24" s="39">
        <f t="shared" si="1"/>
        <v>-0.10291603997313133</v>
      </c>
      <c r="P24" s="39">
        <f t="shared" si="1"/>
        <v>-6.042159429618385E-2</v>
      </c>
      <c r="Q24" s="39">
        <f t="shared" si="1"/>
        <v>-0.1037907861864015</v>
      </c>
      <c r="R24" s="39">
        <f t="shared" si="1"/>
        <v>-0.18790076952638504</v>
      </c>
      <c r="S24" s="39">
        <f t="shared" si="1"/>
        <v>-0.20771350375383377</v>
      </c>
      <c r="T24" s="39">
        <f t="shared" si="1"/>
        <v>-0.16140859302783661</v>
      </c>
      <c r="U24" s="39">
        <f t="shared" si="1"/>
        <v>-0.10485280558860505</v>
      </c>
      <c r="V24" s="39">
        <f t="shared" si="1"/>
        <v>-1.7929359920179855E-2</v>
      </c>
      <c r="W24" s="39">
        <f t="shared" si="1"/>
        <v>2.1200496036178795E-2</v>
      </c>
      <c r="X24" s="39">
        <f t="shared" si="1"/>
        <v>-0.16432164415457814</v>
      </c>
      <c r="Y24" s="39">
        <f t="shared" si="1"/>
        <v>-0.19839681682955584</v>
      </c>
      <c r="Z24" s="39">
        <f t="shared" si="1"/>
        <v>-0.14646413737108638</v>
      </c>
      <c r="AA24" s="39">
        <f t="shared" si="1"/>
        <v>-0.19556466535976372</v>
      </c>
      <c r="AB24" s="39">
        <f t="shared" si="1"/>
        <v>-0.20308507047175559</v>
      </c>
      <c r="AC24" s="39">
        <f t="shared" si="1"/>
        <v>-0.24499143746629601</v>
      </c>
      <c r="AD24" s="39">
        <f t="shared" si="1"/>
        <v>-0.26020776985292332</v>
      </c>
      <c r="AE24" s="39">
        <f t="shared" si="1"/>
        <v>-0.24251415640008522</v>
      </c>
      <c r="AF24" s="39">
        <f t="shared" si="1"/>
        <v>-0.14845681444988329</v>
      </c>
      <c r="AG24" s="39">
        <f t="shared" si="1"/>
        <v>-5.5593115766891167E-2</v>
      </c>
      <c r="AH24" s="39">
        <f t="shared" si="1"/>
        <v>-1.2764612578142339E-2</v>
      </c>
      <c r="AI24" s="39">
        <f t="shared" si="1"/>
        <v>-5.5444875657262395E-2</v>
      </c>
      <c r="AJ24" s="38">
        <f t="shared" si="1"/>
        <v>-0.25294703222627235</v>
      </c>
    </row>
    <row r="25" spans="2:36" ht="30" customHeight="1">
      <c r="M25" s="36"/>
      <c r="N25" s="36"/>
      <c r="O25" s="36"/>
      <c r="P25" s="36"/>
      <c r="Q25" s="36"/>
      <c r="R25" s="36"/>
      <c r="S25" s="36"/>
      <c r="T25" s="36"/>
      <c r="U25" s="36"/>
      <c r="V25" s="36"/>
      <c r="W25" s="36"/>
      <c r="X25" s="36"/>
      <c r="Y25" s="36"/>
      <c r="Z25" s="36"/>
      <c r="AA25" s="36"/>
      <c r="AB25" s="36"/>
      <c r="AC25" s="36"/>
      <c r="AD25" s="36"/>
      <c r="AE25" s="36"/>
      <c r="AF25" s="36"/>
      <c r="AG25" s="36"/>
      <c r="AH25" s="36"/>
      <c r="AI25" s="36"/>
      <c r="AJ25" s="36"/>
    </row>
    <row r="26" spans="2:36" ht="1.05" hidden="1" customHeight="1" thickBot="1">
      <c r="J26" s="204" t="s">
        <v>106</v>
      </c>
      <c r="K26" s="205"/>
      <c r="L26" s="155">
        <v>0</v>
      </c>
      <c r="M26" s="156" t="s">
        <v>4</v>
      </c>
      <c r="N26" s="156" t="s">
        <v>5</v>
      </c>
      <c r="O26" s="156" t="s">
        <v>6</v>
      </c>
      <c r="P26" s="156" t="s">
        <v>7</v>
      </c>
      <c r="Q26" s="156" t="s">
        <v>8</v>
      </c>
      <c r="R26" s="156" t="s">
        <v>9</v>
      </c>
      <c r="S26" s="156" t="s">
        <v>10</v>
      </c>
      <c r="T26" s="156" t="s">
        <v>11</v>
      </c>
      <c r="U26" s="156" t="s">
        <v>12</v>
      </c>
      <c r="V26" s="156" t="s">
        <v>13</v>
      </c>
      <c r="W26" s="156" t="s">
        <v>14</v>
      </c>
      <c r="X26" s="156" t="s">
        <v>15</v>
      </c>
      <c r="Y26" s="156" t="s">
        <v>16</v>
      </c>
      <c r="Z26" s="156" t="s">
        <v>17</v>
      </c>
      <c r="AA26" s="156" t="s">
        <v>18</v>
      </c>
      <c r="AB26" s="156" t="s">
        <v>19</v>
      </c>
      <c r="AC26" s="156" t="s">
        <v>20</v>
      </c>
      <c r="AD26" s="156" t="s">
        <v>21</v>
      </c>
      <c r="AE26" s="156" t="s">
        <v>22</v>
      </c>
      <c r="AF26" s="156" t="s">
        <v>23</v>
      </c>
      <c r="AG26" s="156" t="s">
        <v>24</v>
      </c>
      <c r="AH26" s="156" t="s">
        <v>25</v>
      </c>
      <c r="AI26" s="156" t="s">
        <v>26</v>
      </c>
      <c r="AJ26" s="157" t="s">
        <v>27</v>
      </c>
    </row>
    <row r="27" spans="2:36" ht="1.05" hidden="1" customHeight="1">
      <c r="J27" s="206" t="s">
        <v>91</v>
      </c>
      <c r="K27" s="207"/>
      <c r="L27" s="158">
        <v>0</v>
      </c>
      <c r="M27" s="147">
        <v>-8.7956719149039353E-2</v>
      </c>
      <c r="N27" s="147">
        <v>-8.7908158422747573E-2</v>
      </c>
      <c r="O27" s="147">
        <v>-0.16445089958745451</v>
      </c>
      <c r="P27" s="147">
        <v>-8.8318717290488125E-2</v>
      </c>
      <c r="Q27" s="147">
        <v>-0.12701057961641449</v>
      </c>
      <c r="R27" s="147">
        <v>-0.20854403906048247</v>
      </c>
      <c r="S27" s="147">
        <v>-0.14533563187437792</v>
      </c>
      <c r="T27" s="147">
        <v>-9.9394977496518044E-2</v>
      </c>
      <c r="U27" s="147">
        <v>-0.15250496091965193</v>
      </c>
      <c r="V27" s="147">
        <v>-0.10016974181144767</v>
      </c>
      <c r="W27" s="147">
        <v>-0.12366651141949625</v>
      </c>
      <c r="X27" s="147">
        <v>-9.2949644734141024E-2</v>
      </c>
      <c r="Y27" s="147">
        <v>-7.966828609331178E-2</v>
      </c>
      <c r="Z27" s="147">
        <v>-7.7383724651852726E-2</v>
      </c>
      <c r="AA27" s="147">
        <v>-1.7665067841541982E-2</v>
      </c>
      <c r="AB27" s="147">
        <v>1.2923775110861957E-2</v>
      </c>
      <c r="AC27" s="147">
        <v>-5.0216205597285457E-3</v>
      </c>
      <c r="AD27" s="147">
        <v>-5.3496261927728272E-2</v>
      </c>
      <c r="AE27" s="147">
        <v>-7.4300118532318216E-2</v>
      </c>
      <c r="AF27" s="147">
        <v>8.2531161638792483E-3</v>
      </c>
      <c r="AG27" s="147">
        <v>5.2847314040009641E-2</v>
      </c>
      <c r="AH27" s="147">
        <v>6.9583106164784025E-2</v>
      </c>
      <c r="AI27" s="147">
        <v>0.12490260263419861</v>
      </c>
      <c r="AJ27" s="152">
        <v>0.15979569178065556</v>
      </c>
    </row>
    <row r="28" spans="2:36" ht="1.05" hidden="1" customHeight="1">
      <c r="J28" s="208" t="s">
        <v>92</v>
      </c>
      <c r="K28" s="209"/>
      <c r="L28" s="160">
        <v>0</v>
      </c>
      <c r="M28" s="147">
        <v>1.464236088297044E-2</v>
      </c>
      <c r="N28" s="147">
        <v>1.7161031900732704E-2</v>
      </c>
      <c r="O28" s="147">
        <v>8.2999335654890816E-2</v>
      </c>
      <c r="P28" s="147">
        <v>0.11672275880865635</v>
      </c>
      <c r="Q28" s="147">
        <v>9.693841545174231E-2</v>
      </c>
      <c r="R28" s="147">
        <v>4.3496353402395993E-2</v>
      </c>
      <c r="S28" s="147">
        <v>2.056062940006953E-2</v>
      </c>
      <c r="T28" s="147">
        <v>0.11157347583900945</v>
      </c>
      <c r="U28" s="147">
        <v>0.16073744740601215</v>
      </c>
      <c r="V28" s="147">
        <v>0.1791882335477244</v>
      </c>
      <c r="W28" s="147">
        <v>0.24017657465608577</v>
      </c>
      <c r="X28" s="147">
        <v>0.27864532001722919</v>
      </c>
      <c r="Y28" s="147">
        <v>0.2254344403318318</v>
      </c>
      <c r="Z28" s="147">
        <v>0.2842813027004536</v>
      </c>
      <c r="AA28" s="147">
        <v>0.32880702599706524</v>
      </c>
      <c r="AB28" s="147">
        <v>0.34385091414373714</v>
      </c>
      <c r="AC28" s="147">
        <v>0.3745373310847806</v>
      </c>
      <c r="AD28" s="147">
        <v>0.40229868274722502</v>
      </c>
      <c r="AE28" s="147">
        <v>0.38842044041457102</v>
      </c>
      <c r="AF28" s="147">
        <v>0.46797880909447076</v>
      </c>
      <c r="AG28" s="147">
        <v>0.43129381818358792</v>
      </c>
      <c r="AH28" s="147">
        <v>0.46996211042729796</v>
      </c>
      <c r="AI28" s="147">
        <v>0.44902672224777396</v>
      </c>
      <c r="AJ28" s="152">
        <v>0.36564289381915693</v>
      </c>
    </row>
    <row r="29" spans="2:36" ht="1.05" hidden="1" customHeight="1">
      <c r="J29" s="210" t="s">
        <v>93</v>
      </c>
      <c r="K29" s="211"/>
      <c r="L29" s="158">
        <v>0</v>
      </c>
      <c r="M29" s="147">
        <v>-4.1615042774082567E-2</v>
      </c>
      <c r="N29" s="147">
        <v>4.4077764138286124E-3</v>
      </c>
      <c r="O29" s="147">
        <v>3.9230351994061996E-2</v>
      </c>
      <c r="P29" s="147">
        <v>5.0995841540818487E-2</v>
      </c>
      <c r="Q29" s="147">
        <v>7.4995004139427168E-2</v>
      </c>
      <c r="R29" s="147">
        <v>9.670653839199872E-2</v>
      </c>
      <c r="S29" s="147">
        <v>8.585267445069289E-2</v>
      </c>
      <c r="T29" s="147">
        <v>0.1480735010039298</v>
      </c>
      <c r="U29" s="147">
        <v>0.11938298742946296</v>
      </c>
      <c r="V29" s="147">
        <v>0.14962459676268214</v>
      </c>
      <c r="W29" s="147">
        <v>0.13325149637919043</v>
      </c>
      <c r="X29" s="147">
        <v>6.8038863037292785E-2</v>
      </c>
      <c r="Y29" s="147">
        <v>5.9895134507598424E-2</v>
      </c>
      <c r="Z29" s="147">
        <v>0.12510396147953573</v>
      </c>
      <c r="AA29" s="147">
        <v>0.18091676420489677</v>
      </c>
      <c r="AB29" s="147">
        <v>0.20650318307687909</v>
      </c>
      <c r="AC29" s="147">
        <v>0.22950697993091418</v>
      </c>
      <c r="AD29" s="147">
        <v>0.27293766117597773</v>
      </c>
      <c r="AE29" s="147">
        <v>0.30181659006347084</v>
      </c>
      <c r="AF29" s="147">
        <v>0.30350852151074781</v>
      </c>
      <c r="AG29" s="147">
        <v>0.30282527810290483</v>
      </c>
      <c r="AH29" s="147">
        <v>0.32062576722144454</v>
      </c>
      <c r="AI29" s="147">
        <v>0.30917810956635883</v>
      </c>
      <c r="AJ29" s="152">
        <v>0.24249812060483178</v>
      </c>
    </row>
    <row r="30" spans="2:36" ht="1.05" hidden="1" customHeight="1" thickBot="1">
      <c r="J30" s="212" t="s">
        <v>94</v>
      </c>
      <c r="K30" s="213"/>
      <c r="L30" s="160">
        <v>0</v>
      </c>
      <c r="M30" s="147">
        <v>-7.6249365182604611E-3</v>
      </c>
      <c r="N30" s="147">
        <v>5.3429795878364272E-2</v>
      </c>
      <c r="O30" s="147">
        <v>0.10568707289040136</v>
      </c>
      <c r="P30" s="147">
        <v>0.12964352218965214</v>
      </c>
      <c r="Q30" s="147">
        <v>0.15118187407004813</v>
      </c>
      <c r="R30" s="147">
        <v>0.19184582624268276</v>
      </c>
      <c r="S30" s="147">
        <v>0.21888503791084912</v>
      </c>
      <c r="T30" s="147">
        <v>0.22046918574088736</v>
      </c>
      <c r="U30" s="147">
        <v>0.21982946800074821</v>
      </c>
      <c r="V30" s="147">
        <v>0.23649598617211764</v>
      </c>
      <c r="W30" s="147">
        <v>0.22577759562354638</v>
      </c>
      <c r="X30" s="147">
        <v>0.16334542085052139</v>
      </c>
      <c r="Y30" s="147">
        <v>0.2846048985628622</v>
      </c>
      <c r="Z30" s="147">
        <v>0.35072391457362495</v>
      </c>
      <c r="AA30" s="161"/>
      <c r="AB30" s="161"/>
      <c r="AC30" s="161"/>
      <c r="AD30" s="161"/>
      <c r="AE30" s="161"/>
      <c r="AF30" s="161"/>
      <c r="AG30" s="161"/>
      <c r="AH30" s="161"/>
      <c r="AI30" s="161"/>
      <c r="AJ30" s="159"/>
    </row>
    <row r="31" spans="2:36" ht="1.05" hidden="1" customHeight="1" thickBot="1">
      <c r="J31" s="202" t="s">
        <v>58</v>
      </c>
      <c r="K31" s="203"/>
      <c r="L31" s="155">
        <v>0</v>
      </c>
      <c r="M31" s="162">
        <f>AVERAGE(M27:M30)</f>
        <v>-3.0638584389602985E-2</v>
      </c>
      <c r="N31" s="156">
        <f t="shared" ref="N31:AH31" si="2">AVERAGE(N27:N30)</f>
        <v>-3.2273885574554961E-3</v>
      </c>
      <c r="O31" s="156">
        <f t="shared" si="2"/>
        <v>1.5866465237974914E-2</v>
      </c>
      <c r="P31" s="156">
        <f t="shared" si="2"/>
        <v>5.2260851312159712E-2</v>
      </c>
      <c r="Q31" s="156">
        <f t="shared" si="2"/>
        <v>4.902617851120078E-2</v>
      </c>
      <c r="R31" s="156">
        <f t="shared" si="2"/>
        <v>3.0876169744148751E-2</v>
      </c>
      <c r="S31" s="156">
        <f t="shared" si="2"/>
        <v>4.4990677471808405E-2</v>
      </c>
      <c r="T31" s="156">
        <f t="shared" si="2"/>
        <v>9.5180296271827142E-2</v>
      </c>
      <c r="U31" s="156">
        <f t="shared" si="2"/>
        <v>8.6861235479142845E-2</v>
      </c>
      <c r="V31" s="156">
        <f t="shared" si="2"/>
        <v>0.11628476866776913</v>
      </c>
      <c r="W31" s="156">
        <f t="shared" si="2"/>
        <v>0.11888478880983158</v>
      </c>
      <c r="X31" s="156">
        <f t="shared" si="2"/>
        <v>0.10426998979272559</v>
      </c>
      <c r="Y31" s="156">
        <f t="shared" si="2"/>
        <v>0.12256654682724516</v>
      </c>
      <c r="Z31" s="156">
        <f t="shared" si="2"/>
        <v>0.17068136352544039</v>
      </c>
      <c r="AA31" s="156">
        <f t="shared" si="2"/>
        <v>0.16401957412014001</v>
      </c>
      <c r="AB31" s="156">
        <f t="shared" si="2"/>
        <v>0.18775929077715939</v>
      </c>
      <c r="AC31" s="156">
        <f t="shared" si="2"/>
        <v>0.19967423015198874</v>
      </c>
      <c r="AD31" s="156">
        <f t="shared" si="2"/>
        <v>0.20724669399849149</v>
      </c>
      <c r="AE31" s="156">
        <f t="shared" si="2"/>
        <v>0.20531230398190789</v>
      </c>
      <c r="AF31" s="156">
        <f t="shared" si="2"/>
        <v>0.25991348225636596</v>
      </c>
      <c r="AG31" s="156">
        <f t="shared" si="2"/>
        <v>0.26232213677550081</v>
      </c>
      <c r="AH31" s="156">
        <f t="shared" si="2"/>
        <v>0.28672366127117549</v>
      </c>
      <c r="AI31" s="156">
        <f>AVERAGE(AI27:AI29)</f>
        <v>0.29436914481611048</v>
      </c>
      <c r="AJ31" s="157">
        <f>AVERAGE(AJ27:AJ29)</f>
        <v>0.25597890206821478</v>
      </c>
    </row>
    <row r="32" spans="2:36" ht="17.55" customHeight="1"/>
    <row r="33" ht="17.55" customHeight="1"/>
    <row r="34" ht="17.55" customHeight="1"/>
    <row r="35" ht="17.55" customHeight="1"/>
    <row r="36" ht="17.55" customHeight="1"/>
    <row r="37" ht="17.55" customHeight="1"/>
    <row r="38" ht="17.55" customHeight="1"/>
    <row r="68" spans="10:36" ht="35.25" hidden="1" thickBot="1">
      <c r="J68" s="214" t="s">
        <v>131</v>
      </c>
      <c r="K68" s="215"/>
      <c r="L68" s="155">
        <v>0</v>
      </c>
      <c r="M68" s="156" t="s">
        <v>4</v>
      </c>
      <c r="N68" s="156" t="s">
        <v>5</v>
      </c>
      <c r="O68" s="156" t="s">
        <v>6</v>
      </c>
      <c r="P68" s="156" t="s">
        <v>7</v>
      </c>
      <c r="Q68" s="156" t="s">
        <v>8</v>
      </c>
      <c r="R68" s="156" t="s">
        <v>9</v>
      </c>
      <c r="S68" s="156" t="s">
        <v>10</v>
      </c>
      <c r="T68" s="156" t="s">
        <v>11</v>
      </c>
      <c r="U68" s="156" t="s">
        <v>12</v>
      </c>
      <c r="V68" s="156" t="s">
        <v>13</v>
      </c>
      <c r="W68" s="156" t="s">
        <v>14</v>
      </c>
      <c r="X68" s="156" t="s">
        <v>15</v>
      </c>
      <c r="Y68" s="156" t="s">
        <v>16</v>
      </c>
      <c r="Z68" s="156" t="s">
        <v>17</v>
      </c>
      <c r="AA68" s="156" t="s">
        <v>18</v>
      </c>
      <c r="AB68" s="156" t="s">
        <v>19</v>
      </c>
      <c r="AC68" s="156" t="s">
        <v>20</v>
      </c>
      <c r="AD68" s="156" t="s">
        <v>21</v>
      </c>
      <c r="AE68" s="156" t="s">
        <v>22</v>
      </c>
      <c r="AF68" s="156" t="s">
        <v>23</v>
      </c>
      <c r="AG68" s="156" t="s">
        <v>24</v>
      </c>
      <c r="AH68" s="156" t="s">
        <v>25</v>
      </c>
      <c r="AI68" s="156" t="s">
        <v>26</v>
      </c>
      <c r="AJ68" s="157" t="s">
        <v>27</v>
      </c>
    </row>
    <row r="69" spans="10:36" hidden="1">
      <c r="J69" s="206" t="s">
        <v>91</v>
      </c>
      <c r="K69" s="207"/>
      <c r="L69" s="158">
        <v>0</v>
      </c>
      <c r="M69" s="148">
        <v>2.0173610393732444E-2</v>
      </c>
      <c r="N69" s="149">
        <v>-2.2892203548743217E-2</v>
      </c>
      <c r="O69" s="149">
        <v>-0.25098955584122706</v>
      </c>
      <c r="P69" s="149">
        <v>-0.19091191988551515</v>
      </c>
      <c r="Q69" s="149">
        <v>-0.22463223846682234</v>
      </c>
      <c r="R69" s="149">
        <v>-0.32220676849064778</v>
      </c>
      <c r="S69" s="149">
        <v>-0.1837512270602133</v>
      </c>
      <c r="T69" s="149">
        <v>-0.14182265499171476</v>
      </c>
      <c r="U69" s="149">
        <v>-0.24749354267847523</v>
      </c>
      <c r="V69" s="149">
        <v>-0.11354519064616742</v>
      </c>
      <c r="W69" s="149">
        <v>-0.1302233363860904</v>
      </c>
      <c r="X69" s="149">
        <v>-0.20283842407530084</v>
      </c>
      <c r="Y69" s="149">
        <v>-0.22236515958959102</v>
      </c>
      <c r="Z69" s="149">
        <v>-0.19757694346317212</v>
      </c>
      <c r="AA69" s="149">
        <v>-1.942032477945832E-2</v>
      </c>
      <c r="AB69" s="149">
        <v>-4.9373758198608897E-2</v>
      </c>
      <c r="AC69" s="149">
        <v>-0.14669460283655911</v>
      </c>
      <c r="AD69" s="149">
        <v>-0.26169078247177502</v>
      </c>
      <c r="AE69" s="149">
        <v>-0.37824792713899735</v>
      </c>
      <c r="AF69" s="149">
        <v>-0.28576602839118836</v>
      </c>
      <c r="AG69" s="149">
        <v>-0.20796204610656455</v>
      </c>
      <c r="AH69" s="149">
        <v>-0.22558307871852945</v>
      </c>
      <c r="AI69" s="149">
        <v>-0.14505885775206773</v>
      </c>
      <c r="AJ69" s="150">
        <v>-0.1258225577227956</v>
      </c>
    </row>
    <row r="70" spans="10:36" hidden="1">
      <c r="J70" s="208" t="s">
        <v>92</v>
      </c>
      <c r="K70" s="209"/>
      <c r="L70" s="160">
        <v>0</v>
      </c>
      <c r="M70" s="151">
        <v>-2.4495329559304668E-2</v>
      </c>
      <c r="N70" s="147">
        <v>6.6002687171988761E-3</v>
      </c>
      <c r="O70" s="147">
        <v>0.2300889867691871</v>
      </c>
      <c r="P70" s="147">
        <v>0.19251387737633285</v>
      </c>
      <c r="Q70" s="147">
        <v>7.0429663112669738E-2</v>
      </c>
      <c r="R70" s="147">
        <v>-7.3827389796361387E-2</v>
      </c>
      <c r="S70" s="147">
        <v>-0.22004259658429171</v>
      </c>
      <c r="T70" s="147">
        <v>-0.10402860200542485</v>
      </c>
      <c r="U70" s="147">
        <v>-6.4273319061077805E-3</v>
      </c>
      <c r="V70" s="147">
        <v>-2.8532050879202631E-2</v>
      </c>
      <c r="W70" s="147">
        <v>7.2481624890423424E-2</v>
      </c>
      <c r="X70" s="147">
        <v>9.6612617414690849E-2</v>
      </c>
      <c r="Y70" s="147">
        <v>6.9363601709551359E-2</v>
      </c>
      <c r="Z70" s="147">
        <v>7.5903090247785743E-2</v>
      </c>
      <c r="AA70" s="147">
        <v>4.2810805752511172E-2</v>
      </c>
      <c r="AB70" s="147">
        <v>-2.4547967487879574E-2</v>
      </c>
      <c r="AC70" s="147">
        <v>-3.1051102598318336E-2</v>
      </c>
      <c r="AD70" s="147">
        <v>0.10753550365208597</v>
      </c>
      <c r="AE70" s="147">
        <v>0.27017041844744938</v>
      </c>
      <c r="AF70" s="147">
        <v>0.4265465803236439</v>
      </c>
      <c r="AG70" s="147">
        <v>0.46035549753278326</v>
      </c>
      <c r="AH70" s="147">
        <v>0.54323397341360291</v>
      </c>
      <c r="AI70" s="147">
        <v>0.3998984856331711</v>
      </c>
      <c r="AJ70" s="152">
        <v>0.11340423130963617</v>
      </c>
    </row>
    <row r="71" spans="10:36" hidden="1">
      <c r="J71" s="210" t="s">
        <v>93</v>
      </c>
      <c r="K71" s="211"/>
      <c r="L71" s="158">
        <v>0</v>
      </c>
      <c r="M71" s="151">
        <v>-2.4848351434602511E-2</v>
      </c>
      <c r="N71" s="147">
        <v>-1.8884998073183445E-2</v>
      </c>
      <c r="O71" s="147">
        <v>-4.9061820744885853E-2</v>
      </c>
      <c r="P71" s="147">
        <v>-0.110486221823903</v>
      </c>
      <c r="Q71" s="147">
        <v>-0.11641642452918477</v>
      </c>
      <c r="R71" s="147">
        <v>9.9605695429132446E-3</v>
      </c>
      <c r="S71" s="147">
        <v>0.15826719324270422</v>
      </c>
      <c r="T71" s="147">
        <v>0.3008664661243694</v>
      </c>
      <c r="U71" s="147">
        <v>0.33169678548440484</v>
      </c>
      <c r="V71" s="147">
        <v>0.40727358860035734</v>
      </c>
      <c r="W71" s="147">
        <v>0.27656609398995324</v>
      </c>
      <c r="X71" s="147">
        <v>1.5312256696929261E-2</v>
      </c>
      <c r="Y71" s="147">
        <v>-7.0424229051164411E-2</v>
      </c>
      <c r="Z71" s="147">
        <v>8.2341314763388684E-2</v>
      </c>
      <c r="AA71" s="147">
        <v>7.6948424585656205E-2</v>
      </c>
      <c r="AB71" s="147">
        <v>0.11953687383038059</v>
      </c>
      <c r="AC71" s="147">
        <v>0.28502348520063725</v>
      </c>
      <c r="AD71" s="147">
        <v>0.18929380213450475</v>
      </c>
      <c r="AE71" s="147">
        <v>0.16085514052165739</v>
      </c>
      <c r="AF71" s="147">
        <v>0.27021884138979679</v>
      </c>
      <c r="AG71" s="147">
        <v>0.40400181753439623</v>
      </c>
      <c r="AH71" s="147">
        <v>0.39732765972576978</v>
      </c>
      <c r="AI71" s="147">
        <v>0.39363643351228061</v>
      </c>
      <c r="AJ71" s="152">
        <v>0.22671074902182031</v>
      </c>
    </row>
    <row r="72" spans="10:36" ht="17.25" hidden="1" thickBot="1">
      <c r="J72" s="212" t="s">
        <v>94</v>
      </c>
      <c r="K72" s="213"/>
      <c r="L72" s="160">
        <v>0</v>
      </c>
      <c r="M72" s="151">
        <v>-8.44434657245412E-2</v>
      </c>
      <c r="N72" s="147">
        <v>6.6018170887173211E-2</v>
      </c>
      <c r="O72" s="147">
        <v>6.0706612652589476E-2</v>
      </c>
      <c r="P72" s="147">
        <v>0.1026527715449046</v>
      </c>
      <c r="Q72" s="147">
        <v>0.2656436251258778</v>
      </c>
      <c r="R72" s="147">
        <v>0.17135767276520641</v>
      </c>
      <c r="S72" s="147">
        <v>0.1433479039228942</v>
      </c>
      <c r="T72" s="147">
        <v>0.25106225499743706</v>
      </c>
      <c r="U72" s="147">
        <v>0.3828276062597471</v>
      </c>
      <c r="V72" s="147">
        <v>0.37625410361107492</v>
      </c>
      <c r="W72" s="147">
        <v>0.37261854598912936</v>
      </c>
      <c r="X72" s="147">
        <v>0.20821032242102988</v>
      </c>
      <c r="Y72" s="147">
        <v>0.21988413224378212</v>
      </c>
      <c r="Z72" s="147">
        <v>0.42359195400227034</v>
      </c>
      <c r="AA72" s="161"/>
      <c r="AB72" s="161"/>
      <c r="AC72" s="161"/>
      <c r="AD72" s="161"/>
      <c r="AE72" s="161"/>
      <c r="AF72" s="161"/>
      <c r="AG72" s="161"/>
      <c r="AH72" s="161"/>
      <c r="AI72" s="161"/>
      <c r="AJ72" s="159"/>
    </row>
    <row r="73" spans="10:36" ht="17.25" hidden="1" thickBot="1">
      <c r="J73" s="202" t="s">
        <v>58</v>
      </c>
      <c r="K73" s="203"/>
      <c r="L73" s="155">
        <v>0</v>
      </c>
      <c r="M73" s="162">
        <f>AVERAGE(M69:M72)</f>
        <v>-2.8403384081178984E-2</v>
      </c>
      <c r="N73" s="156">
        <f t="shared" ref="N73:AH73" si="3">AVERAGE(N69:N72)</f>
        <v>7.710309495611356E-3</v>
      </c>
      <c r="O73" s="156">
        <f t="shared" si="3"/>
        <v>-2.3139442910840857E-3</v>
      </c>
      <c r="P73" s="156">
        <f t="shared" si="3"/>
        <v>-1.5578731970451731E-3</v>
      </c>
      <c r="Q73" s="156">
        <f t="shared" si="3"/>
        <v>-1.243843689364893E-3</v>
      </c>
      <c r="R73" s="156">
        <f t="shared" si="3"/>
        <v>-5.3678978994722376E-2</v>
      </c>
      <c r="S73" s="156">
        <f t="shared" si="3"/>
        <v>-2.5544681619726645E-2</v>
      </c>
      <c r="T73" s="156">
        <f t="shared" si="3"/>
        <v>7.6519366031166713E-2</v>
      </c>
      <c r="U73" s="156">
        <f t="shared" si="3"/>
        <v>0.11515087928989223</v>
      </c>
      <c r="V73" s="156">
        <f t="shared" si="3"/>
        <v>0.16036261267151555</v>
      </c>
      <c r="W73" s="156">
        <f t="shared" si="3"/>
        <v>0.1478607321208539</v>
      </c>
      <c r="X73" s="156">
        <f t="shared" si="3"/>
        <v>2.9324193114337288E-2</v>
      </c>
      <c r="Y73" s="156">
        <f t="shared" si="3"/>
        <v>-8.8541367185548947E-4</v>
      </c>
      <c r="Z73" s="156">
        <f t="shared" si="3"/>
        <v>9.6064853887568163E-2</v>
      </c>
      <c r="AA73" s="156">
        <f t="shared" si="3"/>
        <v>3.3446301852903017E-2</v>
      </c>
      <c r="AB73" s="156">
        <f t="shared" si="3"/>
        <v>1.5205049381297372E-2</v>
      </c>
      <c r="AC73" s="156">
        <f t="shared" si="3"/>
        <v>3.5759259921919938E-2</v>
      </c>
      <c r="AD73" s="156">
        <f t="shared" si="3"/>
        <v>1.1712841104938568E-2</v>
      </c>
      <c r="AE73" s="156">
        <f t="shared" si="3"/>
        <v>1.7592543943369805E-2</v>
      </c>
      <c r="AF73" s="156">
        <f t="shared" si="3"/>
        <v>0.13699979777408411</v>
      </c>
      <c r="AG73" s="156">
        <f t="shared" si="3"/>
        <v>0.21879842298687166</v>
      </c>
      <c r="AH73" s="156">
        <f t="shared" si="3"/>
        <v>0.23832618480694776</v>
      </c>
      <c r="AI73" s="156">
        <f>AVERAGE(AI69:AI71)</f>
        <v>0.21615868713112799</v>
      </c>
      <c r="AJ73" s="157">
        <f>AVERAGE(AJ69:AJ71)</f>
        <v>7.1430807536220289E-2</v>
      </c>
    </row>
  </sheetData>
  <mergeCells count="18">
    <mergeCell ref="J24:K24"/>
    <mergeCell ref="F1:H1"/>
    <mergeCell ref="B2:D3"/>
    <mergeCell ref="J2:K2"/>
    <mergeCell ref="J11:K11"/>
    <mergeCell ref="J15:K15"/>
    <mergeCell ref="J73:K73"/>
    <mergeCell ref="J26:K26"/>
    <mergeCell ref="J27:K27"/>
    <mergeCell ref="J28:K28"/>
    <mergeCell ref="J29:K29"/>
    <mergeCell ref="J30:K30"/>
    <mergeCell ref="J31:K31"/>
    <mergeCell ref="J68:K68"/>
    <mergeCell ref="J69:K69"/>
    <mergeCell ref="J70:K70"/>
    <mergeCell ref="J71:K71"/>
    <mergeCell ref="J72:K72"/>
  </mergeCells>
  <phoneticPr fontId="13" type="noConversion"/>
  <conditionalFormatting sqref="C16:G23">
    <cfRule type="cellIs" dxfId="30" priority="6" operator="between">
      <formula>7</formula>
      <formula>8</formula>
    </cfRule>
    <cfRule type="cellIs" dxfId="29" priority="7" operator="between">
      <formula>1</formula>
      <formula>2</formula>
    </cfRule>
  </conditionalFormatting>
  <conditionalFormatting sqref="F3">
    <cfRule type="cellIs" dxfId="28" priority="2" operator="equal">
      <formula>"GOOD"</formula>
    </cfRule>
    <cfRule type="cellIs" dxfId="27" priority="4" operator="equal">
      <formula>"GOOD"</formula>
    </cfRule>
    <cfRule type="top10" dxfId="26" priority="5" percent="1" rank="10"/>
  </conditionalFormatting>
  <conditionalFormatting sqref="G3">
    <cfRule type="cellIs" dxfId="25" priority="1" operator="equal">
      <formula>"BAD"</formula>
    </cfRule>
    <cfRule type="cellIs" dxfId="24" priority="3" operator="equal">
      <formula>"BAD"</formula>
    </cfRule>
  </conditionalFormatting>
  <pageMargins left="0.7" right="0.7" top="0.75" bottom="0.75" header="0.3" footer="0.3"/>
  <pageSetup paperSize="9"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26</vt:i4>
      </vt:variant>
    </vt:vector>
  </HeadingPairs>
  <TitlesOfParts>
    <vt:vector size="26" baseType="lpstr">
      <vt:lpstr>CumulativeReturns</vt:lpstr>
      <vt:lpstr>Working Capital</vt:lpstr>
      <vt:lpstr>Working Capital ratio</vt:lpstr>
      <vt:lpstr>Current ratio</vt:lpstr>
      <vt:lpstr>Acid-test ratio</vt:lpstr>
      <vt:lpstr>Accounts receivable turnover</vt:lpstr>
      <vt:lpstr>Average collection period</vt:lpstr>
      <vt:lpstr>Inventory turnover</vt:lpstr>
      <vt:lpstr>Average sale period</vt:lpstr>
      <vt:lpstr>Operating cycle</vt:lpstr>
      <vt:lpstr>Total asset turnover</vt:lpstr>
      <vt:lpstr>Times interest earned</vt:lpstr>
      <vt:lpstr>Debt-to-equity ratio</vt:lpstr>
      <vt:lpstr>Equity multiplier</vt:lpstr>
      <vt:lpstr>Net profit margin percentage</vt:lpstr>
      <vt:lpstr>Return on total assets (ROA)	</vt:lpstr>
      <vt:lpstr>Return on equity (ROE)</vt:lpstr>
      <vt:lpstr>Earnings per share</vt:lpstr>
      <vt:lpstr>Price-earnings ratio</vt:lpstr>
      <vt:lpstr>Dividend payout ratio</vt:lpstr>
      <vt:lpstr>Dividend yield ratio</vt:lpstr>
      <vt:lpstr>Book value per share</vt:lpstr>
      <vt:lpstr>CASM-ex</vt:lpstr>
      <vt:lpstr>RASM</vt:lpstr>
      <vt:lpstr>Load factor</vt:lpstr>
      <vt:lpstr>Fuel 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Ilona GAVOILLE</dc:creator>
  <cp:lastModifiedBy>Ilona GAVOILLE</cp:lastModifiedBy>
  <dcterms:created xsi:type="dcterms:W3CDTF">2026-06-02T07:09:30Z</dcterms:created>
  <dcterms:modified xsi:type="dcterms:W3CDTF">2026-06-09T02:11:34Z</dcterms:modified>
</cp:coreProperties>
</file>